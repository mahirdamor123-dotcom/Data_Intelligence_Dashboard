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Visualizations" sheetId="4" state="visible" r:id="rId4"/>
    <sheet xmlns:r="http://schemas.openxmlformats.org/officeDocument/2006/relationships" name="Dashboard" sheetId="5" state="visible" r:id="rId5"/>
  </sheets>
  <definedNames>
    <definedName name="_xlnm._FilterDatabase" localSheetId="1" hidden="1">'Raw Data'!$A$1:$N$251</definedName>
  </definedNames>
  <calcPr calcId="124519" fullCalcOnLoad="1" iterate="1" iterateCount="1" iterateDelta="0.00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h:mm:ss"/>
    <numFmt numFmtId="166" formatCode="mmm yyyy"/>
    <numFmt numFmtId="167" formatCode="yyyy-mm-dd hh:mm"/>
  </numFmts>
  <fonts count="7">
    <font>
      <name val="Calibri"/>
      <family val="2"/>
      <color theme="1"/>
      <sz val="11"/>
      <scheme val="minor"/>
    </font>
    <font>
      <b val="1"/>
      <color rgb="00FFFFFF"/>
      <sz val="17"/>
    </font>
    <font>
      <b val="1"/>
      <color rgb="001F4E78"/>
    </font>
    <font>
      <b val="1"/>
      <color rgb="00FFFFFF"/>
      <sz val="16"/>
    </font>
    <font>
      <b val="1"/>
      <color rgb="00FFFFFF"/>
    </font>
    <font>
      <b val="1"/>
      <color rgb="00FFFFFF"/>
      <sz val="22"/>
    </font>
    <font>
      <b val="1"/>
      <color rgb="0017365D"/>
      <sz val="2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2" fontId="0" fillId="0" borderId="0" pivotButton="0" quotePrefix="0" xfId="0"/>
    <xf numFmtId="0" fontId="3" fillId="2" borderId="0" pivotButton="0" quotePrefix="0" xfId="0"/>
    <xf numFmtId="165" fontId="0" fillId="0" borderId="0" pivotButton="0" quotePrefix="0" xfId="0"/>
    <xf numFmtId="0" fontId="4" fillId="3" borderId="0" pivotButton="0" quotePrefix="0" xfId="0"/>
    <xf numFmtId="4" fontId="0" fillId="0" borderId="0" pivotButton="0" quotePrefix="0" xfId="0"/>
    <xf numFmtId="3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  <xf numFmtId="0" fontId="5" fillId="2" borderId="0" applyAlignment="1" pivotButton="0" quotePrefix="0" xfId="0">
      <alignment horizontal="center"/>
    </xf>
    <xf numFmtId="0" fontId="0" fillId="4" borderId="0" pivotButton="0" quotePrefix="0" xfId="0"/>
    <xf numFmtId="0" fontId="4" fillId="3" borderId="0" applyAlignment="1" pivotButton="0" quotePrefix="0" xfId="0">
      <alignment horizontal="center"/>
    </xf>
    <xf numFmtId="4" fontId="6" fillId="5" borderId="0" applyAlignment="1" pivotButton="0" quotePrefix="0" xfId="0">
      <alignment horizontal="center" vertical="center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'Analysis'!F16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'Analysis'!$E$17:$E$20</f>
            </numRef>
          </cat>
          <val>
            <numRef>
              <f>'Analysis'!$F$17:$F$20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'Analysis'!A16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'Analysis'!$C$17:$C$30</f>
            </numRef>
          </cat>
          <val>
            <numRef>
              <f>'Analysis'!$A$17:$A$30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pieChart>
        <varyColors val="1"/>
        <ser>
          <idx val="0"/>
          <order val="0"/>
          <tx>
            <strRef>
              <f>'Analysis'!I16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'Analysis'!$H$17:$H$19</f>
            </numRef>
          </cat>
          <val>
            <numRef>
              <f>'Analysis'!$I$17:$I$19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18</row>
      <rowOff>0</rowOff>
    </from>
    <ext cx="50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ransactions" displayName="Transactions" ref="A1:N251" headerRowCount="1">
  <autoFilter ref="A1:N251"/>
  <tableColumns count="14">
    <tableColumn id="1" name="Transaction_ID"/>
    <tableColumn id="2" name="Date"/>
    <tableColumn id="3" name="Customer_ID"/>
    <tableColumn id="4" name="Customer_Name"/>
    <tableColumn id="5" name="Product_ID"/>
    <tableColumn id="6" name="Product_Name"/>
    <tableColumn id="7" name="Category"/>
    <tableColumn id="8" name="Quantity"/>
    <tableColumn id="9" name="Unit_Price"/>
    <tableColumn id="10" name="Payment_Method"/>
    <tableColumn id="11" name="Region"/>
    <tableColumn id="12" name="Customer_Segment"/>
    <tableColumn id="13" name="Customer_Since"/>
    <tableColumn id="14" name="Total_Amoun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DATA INTELLIGENCE DASHBOARD | PROJECT GUIDE</t>
        </is>
      </c>
    </row>
    <row r="3" ht="34" customHeight="1">
      <c r="A3" s="2" t="inlineStr">
        <is>
          <t>Dataset status</t>
        </is>
      </c>
      <c r="B3" s="3" t="inlineStr">
        <is>
          <t>Generated sample data (250 transactions). The original “Final Project Dataset” workbook was not provided; replace Raw Data with your real records before submission.</t>
        </is>
      </c>
    </row>
    <row r="4" ht="34" customHeight="1">
      <c r="A4" s="2" t="inlineStr">
        <is>
          <t>Workbook sheets</t>
        </is>
      </c>
      <c r="B4" s="3" t="inlineStr">
        <is>
          <t>Raw Data, Analysis, Visualizations, Dashboard, and this guide.</t>
        </is>
      </c>
    </row>
    <row r="5" ht="34" customHeight="1">
      <c r="A5" s="2" t="inlineStr">
        <is>
          <t>Refresh formulas</t>
        </is>
      </c>
      <c r="B5" s="3" t="inlineStr">
        <is>
          <t>Open in Excel and allow formulas to calculate. TODAY() and NOW() refresh when the workbook recalculates.</t>
        </is>
      </c>
    </row>
    <row r="6" ht="34" customHeight="1">
      <c r="A6" s="2" t="inlineStr">
        <is>
          <t>Dashboard filters</t>
        </is>
      </c>
      <c r="B6" s="3" t="inlineStr">
        <is>
          <t>Use the Region, Category, and Segment dropdown cells on Dashboard. The formulas/charts are designed around the full dataset; use Excel table filters on Raw Data for detailed slicing.</t>
        </is>
      </c>
    </row>
    <row r="7" ht="34" customHeight="1">
      <c r="A7" s="2" t="inlineStr">
        <is>
          <t>Timestamp</t>
        </is>
      </c>
      <c r="B7" s="3" t="inlineStr">
        <is>
          <t>Analysis!B4 uses NOW() with iterative calculation enabled so Excel preserves the last refresh timestamp.</t>
        </is>
      </c>
    </row>
    <row r="8" ht="34" customHeight="1">
      <c r="A8" s="2" t="inlineStr">
        <is>
          <t>What-if analysis</t>
        </is>
      </c>
      <c r="B8" s="3" t="inlineStr">
        <is>
          <t>Analysis includes an editable revenue growth assumption and projected revenue formula. Use Data &gt; What-If Analysis &gt; Goal Seek or Scenario Manager in Excel for the class demonstration.</t>
        </is>
      </c>
    </row>
    <row r="9" ht="34" customHeight="1">
      <c r="A9" s="2" t="inlineStr">
        <is>
          <t>Regression</t>
        </is>
      </c>
      <c r="B9" s="3" t="inlineStr">
        <is>
          <t>Analysis includes a monthly revenue trend and slope/intercept formulas using SLOPE and INTERCEPT; the Data Analysis ToolPak can also be used in Excel.</t>
        </is>
      </c>
    </row>
    <row r="10" ht="34" customHeight="1">
      <c r="A10" s="2" t="inlineStr">
        <is>
          <t>Excel compatibility</t>
        </is>
      </c>
      <c r="B10" s="3" t="inlineStr">
        <is>
          <t>FILTER and UNIQUE formulas require Microsoft 365 or Excel 2021+. Other summaries use standard formulas.</t>
        </is>
      </c>
    </row>
    <row r="11" ht="34" customHeight="1">
      <c r="A11" s="2" t="inlineStr">
        <is>
          <t>Visualizations</t>
        </is>
      </c>
      <c r="B11" s="3" t="inlineStr">
        <is>
          <t>Three charts are included: revenue by region, monthly revenue trend, and revenue by category.</t>
        </is>
      </c>
    </row>
    <row r="12" ht="34" customHeight="1">
      <c r="A12" s="2" t="inlineStr">
        <is>
          <t>Generated on</t>
        </is>
      </c>
      <c r="B12" s="3" t="inlineStr">
        <is>
          <t>2026-10-27</t>
        </is>
      </c>
    </row>
  </sheetData>
  <mergeCells count="11">
    <mergeCell ref="B4:F4"/>
    <mergeCell ref="B12:F12"/>
    <mergeCell ref="B7:F7"/>
    <mergeCell ref="B6:F6"/>
    <mergeCell ref="B10:F10"/>
    <mergeCell ref="A1:F1"/>
    <mergeCell ref="B11:F11"/>
    <mergeCell ref="B3:F3"/>
    <mergeCell ref="B5:F5"/>
    <mergeCell ref="B8:F8"/>
    <mergeCell ref="B9:F9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22" customWidth="1" min="4" max="4"/>
    <col width="13" customWidth="1" min="5" max="5"/>
    <col width="18" customWidth="1" min="6" max="6"/>
    <col width="13" customWidth="1" min="7" max="7"/>
    <col width="13" customWidth="1" min="8" max="8"/>
    <col width="13" customWidth="1" min="9" max="9"/>
    <col width="18" customWidth="1" min="10" max="10"/>
    <col width="13" customWidth="1" min="11" max="11"/>
    <col width="19" customWidth="1" min="12" max="12"/>
    <col width="17" customWidth="1" min="13" max="13"/>
    <col width="15" customWidth="1" min="14" max="14"/>
  </cols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Product_ID</t>
        </is>
      </c>
      <c r="F1" t="inlineStr">
        <is>
          <t>Product_Name</t>
        </is>
      </c>
      <c r="G1" t="inlineStr">
        <is>
          <t>Category</t>
        </is>
      </c>
      <c r="H1" t="inlineStr">
        <is>
          <t>Quantity</t>
        </is>
      </c>
      <c r="I1" t="inlineStr">
        <is>
          <t>Unit_Price</t>
        </is>
      </c>
      <c r="J1" t="inlineStr">
        <is>
          <t>Payment_Method</t>
        </is>
      </c>
      <c r="K1" t="inlineStr">
        <is>
          <t>Region</t>
        </is>
      </c>
      <c r="L1" t="inlineStr">
        <is>
          <t>Customer_Segment</t>
        </is>
      </c>
      <c r="M1" t="inlineStr">
        <is>
          <t>Customer_Since</t>
        </is>
      </c>
      <c r="N1" t="inlineStr">
        <is>
          <t>Total_Amount</t>
        </is>
      </c>
    </row>
    <row r="2">
      <c r="A2" t="inlineStr">
        <is>
          <t>TRX0001</t>
        </is>
      </c>
      <c r="B2" s="4" t="n">
        <v>45395</v>
      </c>
      <c r="C2" t="inlineStr">
        <is>
          <t>CUST044</t>
        </is>
      </c>
      <c r="D2" t="inlineStr">
        <is>
          <t>Cynthia Price</t>
        </is>
      </c>
      <c r="E2" t="inlineStr">
        <is>
          <t>P002</t>
        </is>
      </c>
      <c r="F2" t="inlineStr">
        <is>
          <t>Smartphone</t>
        </is>
      </c>
      <c r="G2" t="inlineStr">
        <is>
          <t>Electronics</t>
        </is>
      </c>
      <c r="H2" t="n">
        <v>1</v>
      </c>
      <c r="I2" s="5" t="n">
        <v>699.99</v>
      </c>
      <c r="J2" t="inlineStr">
        <is>
          <t>Credit Card</t>
        </is>
      </c>
      <c r="K2" t="inlineStr">
        <is>
          <t>South</t>
        </is>
      </c>
      <c r="L2" t="inlineStr">
        <is>
          <t>Basic</t>
        </is>
      </c>
      <c r="M2" s="4" t="n">
        <v>44406</v>
      </c>
      <c r="N2" s="5" t="n">
        <v>699.99</v>
      </c>
    </row>
    <row r="3">
      <c r="A3" t="inlineStr">
        <is>
          <t>TRX0002</t>
        </is>
      </c>
      <c r="B3" s="4" t="n">
        <v>45398</v>
      </c>
      <c r="C3" t="inlineStr">
        <is>
          <t>CUST047</t>
        </is>
      </c>
      <c r="D3" t="inlineStr">
        <is>
          <t>Gerald Murphy</t>
        </is>
      </c>
      <c r="E3" t="inlineStr">
        <is>
          <t>P009</t>
        </is>
      </c>
      <c r="F3" t="inlineStr">
        <is>
          <t>Monitor</t>
        </is>
      </c>
      <c r="G3" t="inlineStr">
        <is>
          <t>Electronics</t>
        </is>
      </c>
      <c r="H3" t="n">
        <v>1</v>
      </c>
      <c r="I3" s="5" t="n">
        <v>249.99</v>
      </c>
      <c r="J3" t="inlineStr">
        <is>
          <t>PayPal</t>
        </is>
      </c>
      <c r="K3" t="inlineStr">
        <is>
          <t>North</t>
        </is>
      </c>
      <c r="L3" t="inlineStr">
        <is>
          <t>Basic</t>
        </is>
      </c>
      <c r="M3" s="4" t="n">
        <v>44388</v>
      </c>
      <c r="N3" s="5" t="n">
        <v>249.99</v>
      </c>
    </row>
    <row r="4">
      <c r="A4" t="inlineStr">
        <is>
          <t>TRX0003</t>
        </is>
      </c>
      <c r="B4" s="4" t="n">
        <v>45399</v>
      </c>
      <c r="C4" t="inlineStr">
        <is>
          <t>CUST015</t>
        </is>
      </c>
      <c r="D4" t="inlineStr">
        <is>
          <t>Richard Lee</t>
        </is>
      </c>
      <c r="E4" t="inlineStr">
        <is>
          <t>P004</t>
        </is>
      </c>
      <c r="F4" t="inlineStr">
        <is>
          <t>Coffee Maker</t>
        </is>
      </c>
      <c r="G4" t="inlineStr">
        <is>
          <t>Appliances</t>
        </is>
      </c>
      <c r="H4" t="n">
        <v>5</v>
      </c>
      <c r="I4" s="5" t="n">
        <v>79.98999999999999</v>
      </c>
      <c r="J4" t="inlineStr">
        <is>
          <t>Cash</t>
        </is>
      </c>
      <c r="K4" t="inlineStr">
        <is>
          <t>Central</t>
        </is>
      </c>
      <c r="L4" t="inlineStr">
        <is>
          <t>Basic</t>
        </is>
      </c>
      <c r="M4" s="4" t="n">
        <v>45313</v>
      </c>
      <c r="N4" s="5" t="n">
        <v>399.95</v>
      </c>
    </row>
    <row r="5">
      <c r="A5" t="inlineStr">
        <is>
          <t>TRX0004</t>
        </is>
      </c>
      <c r="B5" s="4" t="n">
        <v>45401</v>
      </c>
      <c r="C5" t="inlineStr">
        <is>
          <t>CUST028</t>
        </is>
      </c>
      <c r="D5" t="inlineStr">
        <is>
          <t>Betty Campbell</t>
        </is>
      </c>
      <c r="E5" t="inlineStr">
        <is>
          <t>P004</t>
        </is>
      </c>
      <c r="F5" t="inlineStr">
        <is>
          <t>Coffee Maker</t>
        </is>
      </c>
      <c r="G5" t="inlineStr">
        <is>
          <t>Appliances</t>
        </is>
      </c>
      <c r="H5" t="n">
        <v>4</v>
      </c>
      <c r="I5" s="5" t="n">
        <v>79.98999999999999</v>
      </c>
      <c r="J5" t="inlineStr">
        <is>
          <t>Debit Card</t>
        </is>
      </c>
      <c r="K5" t="inlineStr">
        <is>
          <t>North</t>
        </is>
      </c>
      <c r="L5" t="inlineStr">
        <is>
          <t>Basic</t>
        </is>
      </c>
      <c r="M5" s="4" t="n">
        <v>45062</v>
      </c>
      <c r="N5" s="5" t="n">
        <v>319.96</v>
      </c>
    </row>
    <row r="6">
      <c r="A6" t="inlineStr">
        <is>
          <t>TRX0005</t>
        </is>
      </c>
      <c r="B6" s="4" t="n">
        <v>45399</v>
      </c>
      <c r="C6" t="inlineStr">
        <is>
          <t>CUST023</t>
        </is>
      </c>
      <c r="D6" t="inlineStr">
        <is>
          <t>Paul Baker</t>
        </is>
      </c>
      <c r="E6" t="inlineStr">
        <is>
          <t>P005</t>
        </is>
      </c>
      <c r="F6" t="inlineStr">
        <is>
          <t>Blender</t>
        </is>
      </c>
      <c r="G6" t="inlineStr">
        <is>
          <t>Appliances</t>
        </is>
      </c>
      <c r="H6" t="n">
        <v>2</v>
      </c>
      <c r="I6" s="5" t="n">
        <v>59.99</v>
      </c>
      <c r="J6" t="inlineStr">
        <is>
          <t>Debit Card</t>
        </is>
      </c>
      <c r="K6" t="inlineStr">
        <is>
          <t>North</t>
        </is>
      </c>
      <c r="L6" t="inlineStr">
        <is>
          <t>Basic</t>
        </is>
      </c>
      <c r="M6" s="4" t="n">
        <v>44975</v>
      </c>
      <c r="N6" s="5" t="n">
        <v>119.98</v>
      </c>
    </row>
    <row r="7">
      <c r="A7" t="inlineStr">
        <is>
          <t>TRX0006</t>
        </is>
      </c>
      <c r="B7" s="4" t="n">
        <v>45404</v>
      </c>
      <c r="C7" t="inlineStr">
        <is>
          <t>CUST008</t>
        </is>
      </c>
      <c r="D7" t="inlineStr">
        <is>
          <t>Jennifer Taylor</t>
        </is>
      </c>
      <c r="E7" t="inlineStr">
        <is>
          <t>P006</t>
        </is>
      </c>
      <c r="F7" t="inlineStr">
        <is>
          <t>Office Chair</t>
        </is>
      </c>
      <c r="G7" t="inlineStr">
        <is>
          <t>Furniture</t>
        </is>
      </c>
      <c r="H7" t="n">
        <v>3</v>
      </c>
      <c r="I7" s="5" t="n">
        <v>199.99</v>
      </c>
      <c r="J7" t="inlineStr">
        <is>
          <t>Debit Card</t>
        </is>
      </c>
      <c r="K7" t="inlineStr">
        <is>
          <t>North</t>
        </is>
      </c>
      <c r="L7" t="inlineStr">
        <is>
          <t>Premium</t>
        </is>
      </c>
      <c r="M7" s="4" t="n">
        <v>45137</v>
      </c>
      <c r="N7" s="5" t="n">
        <v>599.97</v>
      </c>
    </row>
    <row r="8">
      <c r="A8" t="inlineStr">
        <is>
          <t>TRX0007</t>
        </is>
      </c>
      <c r="B8" s="4" t="n">
        <v>45401</v>
      </c>
      <c r="C8" t="inlineStr">
        <is>
          <t>CUST036</t>
        </is>
      </c>
      <c r="D8" t="inlineStr">
        <is>
          <t>Nancy Collins</t>
        </is>
      </c>
      <c r="E8" t="inlineStr">
        <is>
          <t>P002</t>
        </is>
      </c>
      <c r="F8" t="inlineStr">
        <is>
          <t>Smartphone</t>
        </is>
      </c>
      <c r="G8" t="inlineStr">
        <is>
          <t>Electronics</t>
        </is>
      </c>
      <c r="H8" t="n">
        <v>4</v>
      </c>
      <c r="I8" s="5" t="n">
        <v>699.99</v>
      </c>
      <c r="J8" t="inlineStr">
        <is>
          <t>Debit Card</t>
        </is>
      </c>
      <c r="K8" t="inlineStr">
        <is>
          <t>Central</t>
        </is>
      </c>
      <c r="L8" t="inlineStr">
        <is>
          <t>Standard</t>
        </is>
      </c>
      <c r="M8" s="4" t="n">
        <v>45379</v>
      </c>
      <c r="N8" s="5" t="n">
        <v>2799.96</v>
      </c>
    </row>
    <row r="9">
      <c r="A9" t="inlineStr">
        <is>
          <t>TRX0008</t>
        </is>
      </c>
      <c r="B9" s="4" t="n">
        <v>45404</v>
      </c>
      <c r="C9" t="inlineStr">
        <is>
          <t>CUST014</t>
        </is>
      </c>
      <c r="D9" t="inlineStr">
        <is>
          <t>Linda Martin</t>
        </is>
      </c>
      <c r="E9" t="inlineStr">
        <is>
          <t>P002</t>
        </is>
      </c>
      <c r="F9" t="inlineStr">
        <is>
          <t>Smartphone</t>
        </is>
      </c>
      <c r="G9" t="inlineStr">
        <is>
          <t>Electronics</t>
        </is>
      </c>
      <c r="H9" t="n">
        <v>1</v>
      </c>
      <c r="I9" s="5" t="n">
        <v>699.99</v>
      </c>
      <c r="J9" t="inlineStr">
        <is>
          <t>Debit Card</t>
        </is>
      </c>
      <c r="K9" t="inlineStr">
        <is>
          <t>North</t>
        </is>
      </c>
      <c r="L9" t="inlineStr">
        <is>
          <t>Basic</t>
        </is>
      </c>
      <c r="M9" s="4" t="n">
        <v>44403</v>
      </c>
      <c r="N9" s="5" t="n">
        <v>699.99</v>
      </c>
    </row>
    <row r="10">
      <c r="A10" t="inlineStr">
        <is>
          <t>TRX0009</t>
        </is>
      </c>
      <c r="B10" s="4" t="n">
        <v>45406</v>
      </c>
      <c r="C10" t="inlineStr">
        <is>
          <t>CUST026</t>
        </is>
      </c>
      <c r="D10" t="inlineStr">
        <is>
          <t>Karen Hill</t>
        </is>
      </c>
      <c r="E10" t="inlineStr">
        <is>
          <t>P005</t>
        </is>
      </c>
      <c r="F10" t="inlineStr">
        <is>
          <t>Blender</t>
        </is>
      </c>
      <c r="G10" t="inlineStr">
        <is>
          <t>Appliances</t>
        </is>
      </c>
      <c r="H10" t="n">
        <v>4</v>
      </c>
      <c r="I10" s="5" t="n">
        <v>59.99</v>
      </c>
      <c r="J10" t="inlineStr">
        <is>
          <t>Credit Card</t>
        </is>
      </c>
      <c r="K10" t="inlineStr">
        <is>
          <t>East</t>
        </is>
      </c>
      <c r="L10" t="inlineStr">
        <is>
          <t>Standard</t>
        </is>
      </c>
      <c r="M10" s="4" t="n">
        <v>44626</v>
      </c>
      <c r="N10" s="5" t="n">
        <v>239.96</v>
      </c>
    </row>
    <row r="11">
      <c r="A11" t="inlineStr">
        <is>
          <t>TRX0010</t>
        </is>
      </c>
      <c r="B11" s="4" t="n">
        <v>45410</v>
      </c>
      <c r="C11" t="inlineStr">
        <is>
          <t>CUST046</t>
        </is>
      </c>
      <c r="D11" t="inlineStr">
        <is>
          <t>Kathleen Bennett</t>
        </is>
      </c>
      <c r="E11" t="inlineStr">
        <is>
          <t>P005</t>
        </is>
      </c>
      <c r="F11" t="inlineStr">
        <is>
          <t>Blender</t>
        </is>
      </c>
      <c r="G11" t="inlineStr">
        <is>
          <t>Appliances</t>
        </is>
      </c>
      <c r="H11" t="n">
        <v>1</v>
      </c>
      <c r="I11" s="5" t="n">
        <v>59.99</v>
      </c>
      <c r="J11" t="inlineStr">
        <is>
          <t>Credit Card</t>
        </is>
      </c>
      <c r="K11" t="inlineStr">
        <is>
          <t>Central</t>
        </is>
      </c>
      <c r="L11" t="inlineStr">
        <is>
          <t>Premium</t>
        </is>
      </c>
      <c r="M11" s="4" t="n">
        <v>44698</v>
      </c>
      <c r="N11" s="5" t="n">
        <v>59.99</v>
      </c>
    </row>
    <row r="12">
      <c r="A12" t="inlineStr">
        <is>
          <t>TRX0011</t>
        </is>
      </c>
      <c r="B12" s="4" t="n">
        <v>45409</v>
      </c>
      <c r="C12" t="inlineStr">
        <is>
          <t>CUST012</t>
        </is>
      </c>
      <c r="D12" t="inlineStr">
        <is>
          <t>Patricia Moore</t>
        </is>
      </c>
      <c r="E12" t="inlineStr">
        <is>
          <t>P008</t>
        </is>
      </c>
      <c r="F12" t="inlineStr">
        <is>
          <t>Bookshelf</t>
        </is>
      </c>
      <c r="G12" t="inlineStr">
        <is>
          <t>Furniture</t>
        </is>
      </c>
      <c r="H12" t="n">
        <v>4</v>
      </c>
      <c r="I12" s="5" t="n">
        <v>149.99</v>
      </c>
      <c r="J12" t="inlineStr">
        <is>
          <t>Credit Card</t>
        </is>
      </c>
      <c r="K12" t="inlineStr">
        <is>
          <t>East</t>
        </is>
      </c>
      <c r="L12" t="inlineStr">
        <is>
          <t>Basic</t>
        </is>
      </c>
      <c r="M12" s="4" t="n">
        <v>44666</v>
      </c>
      <c r="N12" s="5" t="n">
        <v>599.96</v>
      </c>
    </row>
    <row r="13">
      <c r="A13" t="inlineStr">
        <is>
          <t>TRX0012</t>
        </is>
      </c>
      <c r="B13" s="4" t="n">
        <v>45410</v>
      </c>
      <c r="C13" t="inlineStr">
        <is>
          <t>CUST003</t>
        </is>
      </c>
      <c r="D13" t="inlineStr">
        <is>
          <t>Michael Brown</t>
        </is>
      </c>
      <c r="E13" t="inlineStr">
        <is>
          <t>P006</t>
        </is>
      </c>
      <c r="F13" t="inlineStr">
        <is>
          <t>Office Chair</t>
        </is>
      </c>
      <c r="G13" t="inlineStr">
        <is>
          <t>Furniture</t>
        </is>
      </c>
      <c r="H13" t="n">
        <v>4</v>
      </c>
      <c r="I13" s="5" t="n">
        <v>199.99</v>
      </c>
      <c r="J13" t="inlineStr">
        <is>
          <t>Cash</t>
        </is>
      </c>
      <c r="K13" t="inlineStr">
        <is>
          <t>South</t>
        </is>
      </c>
      <c r="L13" t="inlineStr">
        <is>
          <t>Premium</t>
        </is>
      </c>
      <c r="M13" s="4" t="n">
        <v>44841</v>
      </c>
      <c r="N13" s="5" t="n">
        <v>799.96</v>
      </c>
    </row>
    <row r="14">
      <c r="A14" t="inlineStr">
        <is>
          <t>TRX0013</t>
        </is>
      </c>
      <c r="B14" s="4" t="n">
        <v>45413</v>
      </c>
      <c r="C14" t="inlineStr">
        <is>
          <t>CUST015</t>
        </is>
      </c>
      <c r="D14" t="inlineStr">
        <is>
          <t>Richard Lee</t>
        </is>
      </c>
      <c r="E14" t="inlineStr">
        <is>
          <t>P008</t>
        </is>
      </c>
      <c r="F14" t="inlineStr">
        <is>
          <t>Bookshelf</t>
        </is>
      </c>
      <c r="G14" t="inlineStr">
        <is>
          <t>Furniture</t>
        </is>
      </c>
      <c r="H14" t="n">
        <v>4</v>
      </c>
      <c r="I14" s="5" t="n">
        <v>149.99</v>
      </c>
      <c r="J14" t="inlineStr">
        <is>
          <t>Credit Card</t>
        </is>
      </c>
      <c r="K14" t="inlineStr">
        <is>
          <t>East</t>
        </is>
      </c>
      <c r="L14" t="inlineStr">
        <is>
          <t>Basic</t>
        </is>
      </c>
      <c r="M14" s="4" t="n">
        <v>44702</v>
      </c>
      <c r="N14" s="5" t="n">
        <v>599.96</v>
      </c>
    </row>
    <row r="15">
      <c r="A15" t="inlineStr">
        <is>
          <t>TRX0014</t>
        </is>
      </c>
      <c r="B15" s="4" t="n">
        <v>45415</v>
      </c>
      <c r="C15" t="inlineStr">
        <is>
          <t>CUST038</t>
        </is>
      </c>
      <c r="D15" t="inlineStr">
        <is>
          <t>Michelle Rogers</t>
        </is>
      </c>
      <c r="E15" t="inlineStr">
        <is>
          <t>P009</t>
        </is>
      </c>
      <c r="F15" t="inlineStr">
        <is>
          <t>Monitor</t>
        </is>
      </c>
      <c r="G15" t="inlineStr">
        <is>
          <t>Electronics</t>
        </is>
      </c>
      <c r="H15" t="n">
        <v>3</v>
      </c>
      <c r="I15" s="5" t="n">
        <v>249.99</v>
      </c>
      <c r="J15" t="inlineStr">
        <is>
          <t>PayPal</t>
        </is>
      </c>
      <c r="K15" t="inlineStr">
        <is>
          <t>Central</t>
        </is>
      </c>
      <c r="L15" t="inlineStr">
        <is>
          <t>Standard</t>
        </is>
      </c>
      <c r="M15" s="4" t="n">
        <v>44938</v>
      </c>
      <c r="N15" s="5" t="n">
        <v>749.97</v>
      </c>
    </row>
    <row r="16">
      <c r="A16" t="inlineStr">
        <is>
          <t>TRX0015</t>
        </is>
      </c>
      <c r="B16" s="4" t="n">
        <v>45416</v>
      </c>
      <c r="C16" t="inlineStr">
        <is>
          <t>CUST016</t>
        </is>
      </c>
      <c r="D16" t="inlineStr">
        <is>
          <t>Elizabeth Hall</t>
        </is>
      </c>
      <c r="E16" t="inlineStr">
        <is>
          <t>P003</t>
        </is>
      </c>
      <c r="F16" t="inlineStr">
        <is>
          <t>Headphones</t>
        </is>
      </c>
      <c r="G16" t="inlineStr">
        <is>
          <t>Electronics</t>
        </is>
      </c>
      <c r="H16" t="n">
        <v>5</v>
      </c>
      <c r="I16" s="5" t="n">
        <v>149.99</v>
      </c>
      <c r="J16" t="inlineStr">
        <is>
          <t>Cash</t>
        </is>
      </c>
      <c r="K16" t="inlineStr">
        <is>
          <t>North</t>
        </is>
      </c>
      <c r="L16" t="inlineStr">
        <is>
          <t>Basic</t>
        </is>
      </c>
      <c r="M16" s="4" t="n">
        <v>44510</v>
      </c>
      <c r="N16" s="5" t="n">
        <v>749.95</v>
      </c>
    </row>
    <row r="17">
      <c r="A17" t="inlineStr">
        <is>
          <t>TRX0016</t>
        </is>
      </c>
      <c r="B17" s="4" t="n">
        <v>45418</v>
      </c>
      <c r="C17" t="inlineStr">
        <is>
          <t>CUST044</t>
        </is>
      </c>
      <c r="D17" t="inlineStr">
        <is>
          <t>Cynthia Price</t>
        </is>
      </c>
      <c r="E17" t="inlineStr">
        <is>
          <t>P003</t>
        </is>
      </c>
      <c r="F17" t="inlineStr">
        <is>
          <t>Headphones</t>
        </is>
      </c>
      <c r="G17" t="inlineStr">
        <is>
          <t>Electronics</t>
        </is>
      </c>
      <c r="H17" t="n">
        <v>4</v>
      </c>
      <c r="I17" s="5" t="n">
        <v>149.99</v>
      </c>
      <c r="J17" t="inlineStr">
        <is>
          <t>Cash</t>
        </is>
      </c>
      <c r="K17" t="inlineStr">
        <is>
          <t>West</t>
        </is>
      </c>
      <c r="L17" t="inlineStr">
        <is>
          <t>Standard</t>
        </is>
      </c>
      <c r="M17" s="4" t="n">
        <v>45155</v>
      </c>
      <c r="N17" s="5" t="n">
        <v>599.96</v>
      </c>
    </row>
    <row r="18">
      <c r="A18" t="inlineStr">
        <is>
          <t>TRX0017</t>
        </is>
      </c>
      <c r="B18" s="4" t="n">
        <v>45416</v>
      </c>
      <c r="C18" t="inlineStr">
        <is>
          <t>CUST035</t>
        </is>
      </c>
      <c r="D18" t="inlineStr">
        <is>
          <t>Harry Morgan</t>
        </is>
      </c>
      <c r="E18" t="inlineStr">
        <is>
          <t>P005</t>
        </is>
      </c>
      <c r="F18" t="inlineStr">
        <is>
          <t>Blender</t>
        </is>
      </c>
      <c r="G18" t="inlineStr">
        <is>
          <t>Appliances</t>
        </is>
      </c>
      <c r="H18" t="n">
        <v>5</v>
      </c>
      <c r="I18" s="5" t="n">
        <v>59.99</v>
      </c>
      <c r="J18" t="inlineStr">
        <is>
          <t>Cash</t>
        </is>
      </c>
      <c r="K18" t="inlineStr">
        <is>
          <t>Central</t>
        </is>
      </c>
      <c r="L18" t="inlineStr">
        <is>
          <t>Standard</t>
        </is>
      </c>
      <c r="M18" s="4" t="n">
        <v>44893</v>
      </c>
      <c r="N18" s="5" t="n">
        <v>299.95</v>
      </c>
    </row>
    <row r="19">
      <c r="A19" t="inlineStr">
        <is>
          <t>TRX0018</t>
        </is>
      </c>
      <c r="B19" s="4" t="n">
        <v>45418</v>
      </c>
      <c r="C19" t="inlineStr">
        <is>
          <t>CUST009</t>
        </is>
      </c>
      <c r="D19" t="inlineStr">
        <is>
          <t>Robert Thomas</t>
        </is>
      </c>
      <c r="E19" t="inlineStr">
        <is>
          <t>P005</t>
        </is>
      </c>
      <c r="F19" t="inlineStr">
        <is>
          <t>Blender</t>
        </is>
      </c>
      <c r="G19" t="inlineStr">
        <is>
          <t>Appliances</t>
        </is>
      </c>
      <c r="H19" t="n">
        <v>4</v>
      </c>
      <c r="I19" s="5" t="n">
        <v>59.99</v>
      </c>
      <c r="J19" t="inlineStr">
        <is>
          <t>PayPal</t>
        </is>
      </c>
      <c r="K19" t="inlineStr">
        <is>
          <t>North</t>
        </is>
      </c>
      <c r="L19" t="inlineStr">
        <is>
          <t>Premium</t>
        </is>
      </c>
      <c r="M19" s="4" t="n">
        <v>44736</v>
      </c>
      <c r="N19" s="5" t="n">
        <v>239.96</v>
      </c>
    </row>
    <row r="20">
      <c r="A20" t="inlineStr">
        <is>
          <t>TRX0019</t>
        </is>
      </c>
      <c r="B20" s="4" t="n">
        <v>45419</v>
      </c>
      <c r="C20" t="inlineStr">
        <is>
          <t>CUST034</t>
        </is>
      </c>
      <c r="D20" t="inlineStr">
        <is>
          <t>Carol Evans</t>
        </is>
      </c>
      <c r="E20" t="inlineStr">
        <is>
          <t>P003</t>
        </is>
      </c>
      <c r="F20" t="inlineStr">
        <is>
          <t>Headphones</t>
        </is>
      </c>
      <c r="G20" t="inlineStr">
        <is>
          <t>Electronics</t>
        </is>
      </c>
      <c r="H20" t="n">
        <v>5</v>
      </c>
      <c r="I20" s="5" t="n">
        <v>149.99</v>
      </c>
      <c r="J20" t="inlineStr">
        <is>
          <t>Debit Card</t>
        </is>
      </c>
      <c r="K20" t="inlineStr">
        <is>
          <t>Central</t>
        </is>
      </c>
      <c r="L20" t="inlineStr">
        <is>
          <t>Premium</t>
        </is>
      </c>
      <c r="M20" s="4" t="n">
        <v>44604</v>
      </c>
      <c r="N20" s="5" t="n">
        <v>749.95</v>
      </c>
    </row>
    <row r="21">
      <c r="A21" t="inlineStr">
        <is>
          <t>TRX0020</t>
        </is>
      </c>
      <c r="B21" s="4" t="n">
        <v>45424</v>
      </c>
      <c r="C21" t="inlineStr">
        <is>
          <t>CUST011</t>
        </is>
      </c>
      <c r="D21" t="inlineStr">
        <is>
          <t>William White</t>
        </is>
      </c>
      <c r="E21" t="inlineStr">
        <is>
          <t>P006</t>
        </is>
      </c>
      <c r="F21" t="inlineStr">
        <is>
          <t>Office Chair</t>
        </is>
      </c>
      <c r="G21" t="inlineStr">
        <is>
          <t>Furniture</t>
        </is>
      </c>
      <c r="H21" t="n">
        <v>2</v>
      </c>
      <c r="I21" s="5" t="n">
        <v>199.99</v>
      </c>
      <c r="J21" t="inlineStr">
        <is>
          <t>Cash</t>
        </is>
      </c>
      <c r="K21" t="inlineStr">
        <is>
          <t>Central</t>
        </is>
      </c>
      <c r="L21" t="inlineStr">
        <is>
          <t>Standard</t>
        </is>
      </c>
      <c r="M21" s="4" t="n">
        <v>45197</v>
      </c>
      <c r="N21" s="5" t="n">
        <v>399.98</v>
      </c>
    </row>
    <row r="22">
      <c r="A22" t="inlineStr">
        <is>
          <t>TRX0021</t>
        </is>
      </c>
      <c r="B22" s="4" t="n">
        <v>45424</v>
      </c>
      <c r="C22" t="inlineStr">
        <is>
          <t>CUST002</t>
        </is>
      </c>
      <c r="D22" t="inlineStr">
        <is>
          <t>Emma Wilson</t>
        </is>
      </c>
      <c r="E22" t="inlineStr">
        <is>
          <t>P002</t>
        </is>
      </c>
      <c r="F22" t="inlineStr">
        <is>
          <t>Smartphone</t>
        </is>
      </c>
      <c r="G22" t="inlineStr">
        <is>
          <t>Electronics</t>
        </is>
      </c>
      <c r="H22" t="n">
        <v>3</v>
      </c>
      <c r="I22" s="5" t="n">
        <v>699.99</v>
      </c>
      <c r="J22" t="inlineStr">
        <is>
          <t>Credit Card</t>
        </is>
      </c>
      <c r="K22" t="inlineStr">
        <is>
          <t>North</t>
        </is>
      </c>
      <c r="L22" t="inlineStr">
        <is>
          <t>Basic</t>
        </is>
      </c>
      <c r="M22" s="4" t="n">
        <v>45358</v>
      </c>
      <c r="N22" s="5" t="n">
        <v>2099.97</v>
      </c>
    </row>
    <row r="23">
      <c r="A23" t="inlineStr">
        <is>
          <t>TRX0022</t>
        </is>
      </c>
      <c r="B23" s="4" t="n">
        <v>45423</v>
      </c>
      <c r="C23" t="inlineStr">
        <is>
          <t>CUST007</t>
        </is>
      </c>
      <c r="D23" t="inlineStr">
        <is>
          <t>David Martinez</t>
        </is>
      </c>
      <c r="E23" t="inlineStr">
        <is>
          <t>P002</t>
        </is>
      </c>
      <c r="F23" t="inlineStr">
        <is>
          <t>Smartphone</t>
        </is>
      </c>
      <c r="G23" t="inlineStr">
        <is>
          <t>Electronics</t>
        </is>
      </c>
      <c r="H23" t="n">
        <v>4</v>
      </c>
      <c r="I23" s="5" t="n">
        <v>699.99</v>
      </c>
      <c r="J23" t="inlineStr">
        <is>
          <t>Credit Card</t>
        </is>
      </c>
      <c r="K23" t="inlineStr">
        <is>
          <t>South</t>
        </is>
      </c>
      <c r="L23" t="inlineStr">
        <is>
          <t>Premium</t>
        </is>
      </c>
      <c r="M23" s="4" t="n">
        <v>45170</v>
      </c>
      <c r="N23" s="5" t="n">
        <v>2799.96</v>
      </c>
    </row>
    <row r="24">
      <c r="A24" t="inlineStr">
        <is>
          <t>TRX0023</t>
        </is>
      </c>
      <c r="B24" s="4" t="n">
        <v>45428</v>
      </c>
      <c r="C24" t="inlineStr">
        <is>
          <t>CUST038</t>
        </is>
      </c>
      <c r="D24" t="inlineStr">
        <is>
          <t>Michelle Rogers</t>
        </is>
      </c>
      <c r="E24" t="inlineStr">
        <is>
          <t>P003</t>
        </is>
      </c>
      <c r="F24" t="inlineStr">
        <is>
          <t>Headphones</t>
        </is>
      </c>
      <c r="G24" t="inlineStr">
        <is>
          <t>Electronics</t>
        </is>
      </c>
      <c r="H24" t="n">
        <v>3</v>
      </c>
      <c r="I24" s="5" t="n">
        <v>149.99</v>
      </c>
      <c r="J24" t="inlineStr">
        <is>
          <t>PayPal</t>
        </is>
      </c>
      <c r="K24" t="inlineStr">
        <is>
          <t>South</t>
        </is>
      </c>
      <c r="L24" t="inlineStr">
        <is>
          <t>Premium</t>
        </is>
      </c>
      <c r="M24" s="4" t="n">
        <v>44608</v>
      </c>
      <c r="N24" s="5" t="n">
        <v>449.97</v>
      </c>
    </row>
    <row r="25">
      <c r="A25" t="inlineStr">
        <is>
          <t>TRX0024</t>
        </is>
      </c>
      <c r="B25" s="4" t="n">
        <v>45428</v>
      </c>
      <c r="C25" t="inlineStr">
        <is>
          <t>CUST049</t>
        </is>
      </c>
      <c r="D25" t="inlineStr">
        <is>
          <t>Raymond Ross</t>
        </is>
      </c>
      <c r="E25" t="inlineStr">
        <is>
          <t>P005</t>
        </is>
      </c>
      <c r="F25" t="inlineStr">
        <is>
          <t>Blender</t>
        </is>
      </c>
      <c r="G25" t="inlineStr">
        <is>
          <t>Appliances</t>
        </is>
      </c>
      <c r="H25" t="n">
        <v>4</v>
      </c>
      <c r="I25" s="5" t="n">
        <v>59.99</v>
      </c>
      <c r="J25" t="inlineStr">
        <is>
          <t>PayPal</t>
        </is>
      </c>
      <c r="K25" t="inlineStr">
        <is>
          <t>Central</t>
        </is>
      </c>
      <c r="L25" t="inlineStr">
        <is>
          <t>Standard</t>
        </is>
      </c>
      <c r="M25" s="4" t="n">
        <v>44444</v>
      </c>
      <c r="N25" s="5" t="n">
        <v>239.96</v>
      </c>
    </row>
    <row r="26">
      <c r="A26" t="inlineStr">
        <is>
          <t>TRX0025</t>
        </is>
      </c>
      <c r="B26" s="4" t="n">
        <v>45429</v>
      </c>
      <c r="C26" t="inlineStr">
        <is>
          <t>CUST017</t>
        </is>
      </c>
      <c r="D26" t="inlineStr">
        <is>
          <t>Charles Allen</t>
        </is>
      </c>
      <c r="E26" t="inlineStr">
        <is>
          <t>P004</t>
        </is>
      </c>
      <c r="F26" t="inlineStr">
        <is>
          <t>Coffee Maker</t>
        </is>
      </c>
      <c r="G26" t="inlineStr">
        <is>
          <t>Appliances</t>
        </is>
      </c>
      <c r="H26" t="n">
        <v>1</v>
      </c>
      <c r="I26" s="5" t="n">
        <v>79.98999999999999</v>
      </c>
      <c r="J26" t="inlineStr">
        <is>
          <t>Cash</t>
        </is>
      </c>
      <c r="K26" t="inlineStr">
        <is>
          <t>Central</t>
        </is>
      </c>
      <c r="L26" t="inlineStr">
        <is>
          <t>Premium</t>
        </is>
      </c>
      <c r="M26" s="4" t="n">
        <v>44668</v>
      </c>
      <c r="N26" s="5" t="n">
        <v>79.98999999999999</v>
      </c>
    </row>
    <row r="27">
      <c r="A27" t="inlineStr">
        <is>
          <t>TRX0026</t>
        </is>
      </c>
      <c r="B27" s="4" t="n">
        <v>45429</v>
      </c>
      <c r="C27" t="inlineStr">
        <is>
          <t>CUST040</t>
        </is>
      </c>
      <c r="D27" t="inlineStr">
        <is>
          <t>Sharon Butler</t>
        </is>
      </c>
      <c r="E27" t="inlineStr">
        <is>
          <t>P004</t>
        </is>
      </c>
      <c r="F27" t="inlineStr">
        <is>
          <t>Coffee Maker</t>
        </is>
      </c>
      <c r="G27" t="inlineStr">
        <is>
          <t>Appliances</t>
        </is>
      </c>
      <c r="H27" t="n">
        <v>1</v>
      </c>
      <c r="I27" s="5" t="n">
        <v>79.98999999999999</v>
      </c>
      <c r="J27" t="inlineStr">
        <is>
          <t>Cash</t>
        </is>
      </c>
      <c r="K27" t="inlineStr">
        <is>
          <t>South</t>
        </is>
      </c>
      <c r="L27" t="inlineStr">
        <is>
          <t>Basic</t>
        </is>
      </c>
      <c r="M27" s="4" t="n">
        <v>44261</v>
      </c>
      <c r="N27" s="5" t="n">
        <v>79.98999999999999</v>
      </c>
    </row>
    <row r="28">
      <c r="A28" t="inlineStr">
        <is>
          <t>TRX0027</t>
        </is>
      </c>
      <c r="B28" s="4" t="n">
        <v>45431</v>
      </c>
      <c r="C28" t="inlineStr">
        <is>
          <t>CUST023</t>
        </is>
      </c>
      <c r="D28" t="inlineStr">
        <is>
          <t>Paul Baker</t>
        </is>
      </c>
      <c r="E28" t="inlineStr">
        <is>
          <t>P002</t>
        </is>
      </c>
      <c r="F28" t="inlineStr">
        <is>
          <t>Smartphone</t>
        </is>
      </c>
      <c r="G28" t="inlineStr">
        <is>
          <t>Electronics</t>
        </is>
      </c>
      <c r="H28" t="n">
        <v>5</v>
      </c>
      <c r="I28" s="5" t="n">
        <v>699.99</v>
      </c>
      <c r="J28" t="inlineStr">
        <is>
          <t>Debit Card</t>
        </is>
      </c>
      <c r="K28" t="inlineStr">
        <is>
          <t>West</t>
        </is>
      </c>
      <c r="L28" t="inlineStr">
        <is>
          <t>Basic</t>
        </is>
      </c>
      <c r="M28" s="4" t="n">
        <v>45301</v>
      </c>
      <c r="N28" s="5" t="n">
        <v>3499.95</v>
      </c>
    </row>
    <row r="29">
      <c r="A29" t="inlineStr">
        <is>
          <t>TRX0028</t>
        </is>
      </c>
      <c r="B29" s="4" t="n">
        <v>45435</v>
      </c>
      <c r="C29" t="inlineStr">
        <is>
          <t>CUST010</t>
        </is>
      </c>
      <c r="D29" t="inlineStr">
        <is>
          <t>Maria Garcia</t>
        </is>
      </c>
      <c r="E29" t="inlineStr">
        <is>
          <t>P010</t>
        </is>
      </c>
      <c r="F29" t="inlineStr">
        <is>
          <t>Keyboard</t>
        </is>
      </c>
      <c r="G29" t="inlineStr">
        <is>
          <t>Electronics</t>
        </is>
      </c>
      <c r="H29" t="n">
        <v>5</v>
      </c>
      <c r="I29" s="5" t="n">
        <v>89.98999999999999</v>
      </c>
      <c r="J29" t="inlineStr">
        <is>
          <t>Credit Card</t>
        </is>
      </c>
      <c r="K29" t="inlineStr">
        <is>
          <t>West</t>
        </is>
      </c>
      <c r="L29" t="inlineStr">
        <is>
          <t>Standard</t>
        </is>
      </c>
      <c r="M29" s="4" t="n">
        <v>44586</v>
      </c>
      <c r="N29" s="5" t="n">
        <v>449.95</v>
      </c>
    </row>
    <row r="30">
      <c r="A30" t="inlineStr">
        <is>
          <t>TRX0029</t>
        </is>
      </c>
      <c r="B30" s="4" t="n">
        <v>45435</v>
      </c>
      <c r="C30" t="inlineStr">
        <is>
          <t>CUST008</t>
        </is>
      </c>
      <c r="D30" t="inlineStr">
        <is>
          <t>Jennifer Taylor</t>
        </is>
      </c>
      <c r="E30" t="inlineStr">
        <is>
          <t>P002</t>
        </is>
      </c>
      <c r="F30" t="inlineStr">
        <is>
          <t>Smartphone</t>
        </is>
      </c>
      <c r="G30" t="inlineStr">
        <is>
          <t>Electronics</t>
        </is>
      </c>
      <c r="H30" t="n">
        <v>4</v>
      </c>
      <c r="I30" s="5" t="n">
        <v>699.99</v>
      </c>
      <c r="J30" t="inlineStr">
        <is>
          <t>PayPal</t>
        </is>
      </c>
      <c r="K30" t="inlineStr">
        <is>
          <t>West</t>
        </is>
      </c>
      <c r="L30" t="inlineStr">
        <is>
          <t>Standard</t>
        </is>
      </c>
      <c r="M30" s="4" t="n">
        <v>44307</v>
      </c>
      <c r="N30" s="5" t="n">
        <v>2799.96</v>
      </c>
    </row>
    <row r="31">
      <c r="A31" t="inlineStr">
        <is>
          <t>TRX0030</t>
        </is>
      </c>
      <c r="B31" s="4" t="n">
        <v>45438</v>
      </c>
      <c r="C31" t="inlineStr">
        <is>
          <t>CUST047</t>
        </is>
      </c>
      <c r="D31" t="inlineStr">
        <is>
          <t>Gerald Murphy</t>
        </is>
      </c>
      <c r="E31" t="inlineStr">
        <is>
          <t>P002</t>
        </is>
      </c>
      <c r="F31" t="inlineStr">
        <is>
          <t>Smartphone</t>
        </is>
      </c>
      <c r="G31" t="inlineStr">
        <is>
          <t>Electronics</t>
        </is>
      </c>
      <c r="H31" t="n">
        <v>1</v>
      </c>
      <c r="I31" s="5" t="n">
        <v>699.99</v>
      </c>
      <c r="J31" t="inlineStr">
        <is>
          <t>Debit Card</t>
        </is>
      </c>
      <c r="K31" t="inlineStr">
        <is>
          <t>North</t>
        </is>
      </c>
      <c r="L31" t="inlineStr">
        <is>
          <t>Basic</t>
        </is>
      </c>
      <c r="M31" s="4" t="n">
        <v>44589</v>
      </c>
      <c r="N31" s="5" t="n">
        <v>699.99</v>
      </c>
    </row>
    <row r="32">
      <c r="A32" t="inlineStr">
        <is>
          <t>TRX0031</t>
        </is>
      </c>
      <c r="B32" s="4" t="n">
        <v>45437</v>
      </c>
      <c r="C32" t="inlineStr">
        <is>
          <t>CUST014</t>
        </is>
      </c>
      <c r="D32" t="inlineStr">
        <is>
          <t>Linda Martin</t>
        </is>
      </c>
      <c r="E32" t="inlineStr">
        <is>
          <t>P009</t>
        </is>
      </c>
      <c r="F32" t="inlineStr">
        <is>
          <t>Monitor</t>
        </is>
      </c>
      <c r="G32" t="inlineStr">
        <is>
          <t>Electronics</t>
        </is>
      </c>
      <c r="H32" t="n">
        <v>4</v>
      </c>
      <c r="I32" s="5" t="n">
        <v>249.99</v>
      </c>
      <c r="J32" t="inlineStr">
        <is>
          <t>PayPal</t>
        </is>
      </c>
      <c r="K32" t="inlineStr">
        <is>
          <t>South</t>
        </is>
      </c>
      <c r="L32" t="inlineStr">
        <is>
          <t>Standard</t>
        </is>
      </c>
      <c r="M32" s="4" t="n">
        <v>45144</v>
      </c>
      <c r="N32" s="5" t="n">
        <v>999.96</v>
      </c>
    </row>
    <row r="33">
      <c r="A33" t="inlineStr">
        <is>
          <t>TRX0032</t>
        </is>
      </c>
      <c r="B33" s="4" t="n">
        <v>45441</v>
      </c>
      <c r="C33" t="inlineStr">
        <is>
          <t>CUST017</t>
        </is>
      </c>
      <c r="D33" t="inlineStr">
        <is>
          <t>Charles Allen</t>
        </is>
      </c>
      <c r="E33" t="inlineStr">
        <is>
          <t>P002</t>
        </is>
      </c>
      <c r="F33" t="inlineStr">
        <is>
          <t>Smartphone</t>
        </is>
      </c>
      <c r="G33" t="inlineStr">
        <is>
          <t>Electronics</t>
        </is>
      </c>
      <c r="H33" t="n">
        <v>4</v>
      </c>
      <c r="I33" s="5" t="n">
        <v>699.99</v>
      </c>
      <c r="J33" t="inlineStr">
        <is>
          <t>Cash</t>
        </is>
      </c>
      <c r="K33" t="inlineStr">
        <is>
          <t>North</t>
        </is>
      </c>
      <c r="L33" t="inlineStr">
        <is>
          <t>Premium</t>
        </is>
      </c>
      <c r="M33" s="4" t="n">
        <v>45304</v>
      </c>
      <c r="N33" s="5" t="n">
        <v>2799.96</v>
      </c>
    </row>
    <row r="34">
      <c r="A34" t="inlineStr">
        <is>
          <t>TRX0033</t>
        </is>
      </c>
      <c r="B34" s="4" t="n">
        <v>45440</v>
      </c>
      <c r="C34" t="inlineStr">
        <is>
          <t>CUST001</t>
        </is>
      </c>
      <c r="D34" t="inlineStr">
        <is>
          <t>John Smith</t>
        </is>
      </c>
      <c r="E34" t="inlineStr">
        <is>
          <t>P002</t>
        </is>
      </c>
      <c r="F34" t="inlineStr">
        <is>
          <t>Smartphone</t>
        </is>
      </c>
      <c r="G34" t="inlineStr">
        <is>
          <t>Electronics</t>
        </is>
      </c>
      <c r="H34" t="n">
        <v>2</v>
      </c>
      <c r="I34" s="5" t="n">
        <v>699.99</v>
      </c>
      <c r="J34" t="inlineStr">
        <is>
          <t>PayPal</t>
        </is>
      </c>
      <c r="K34" t="inlineStr">
        <is>
          <t>West</t>
        </is>
      </c>
      <c r="L34" t="inlineStr">
        <is>
          <t>Standard</t>
        </is>
      </c>
      <c r="M34" s="4" t="n">
        <v>44634</v>
      </c>
      <c r="N34" s="5" t="n">
        <v>1399.98</v>
      </c>
    </row>
    <row r="35">
      <c r="A35" t="inlineStr">
        <is>
          <t>TRX0034</t>
        </is>
      </c>
      <c r="B35" s="4" t="n">
        <v>45443</v>
      </c>
      <c r="C35" t="inlineStr">
        <is>
          <t>CUST027</t>
        </is>
      </c>
      <c r="D35" t="inlineStr">
        <is>
          <t>George Adams</t>
        </is>
      </c>
      <c r="E35" t="inlineStr">
        <is>
          <t>P001</t>
        </is>
      </c>
      <c r="F35" t="inlineStr">
        <is>
          <t>Laptop</t>
        </is>
      </c>
      <c r="G35" t="inlineStr">
        <is>
          <t>Electronics</t>
        </is>
      </c>
      <c r="H35" t="n">
        <v>2</v>
      </c>
      <c r="I35" s="5" t="n">
        <v>899.99</v>
      </c>
      <c r="J35" t="inlineStr">
        <is>
          <t>Cash</t>
        </is>
      </c>
      <c r="K35" t="inlineStr">
        <is>
          <t>West</t>
        </is>
      </c>
      <c r="L35" t="inlineStr">
        <is>
          <t>Standard</t>
        </is>
      </c>
      <c r="M35" s="4" t="n">
        <v>45128</v>
      </c>
      <c r="N35" s="5" t="n">
        <v>1799.98</v>
      </c>
    </row>
    <row r="36">
      <c r="A36" t="inlineStr">
        <is>
          <t>TRX0035</t>
        </is>
      </c>
      <c r="B36" s="4" t="n">
        <v>45445</v>
      </c>
      <c r="C36" t="inlineStr">
        <is>
          <t>CUST020</t>
        </is>
      </c>
      <c r="D36" t="inlineStr">
        <is>
          <t>Margaret Wright</t>
        </is>
      </c>
      <c r="E36" t="inlineStr">
        <is>
          <t>P007</t>
        </is>
      </c>
      <c r="F36" t="inlineStr">
        <is>
          <t>Desk</t>
        </is>
      </c>
      <c r="G36" t="inlineStr">
        <is>
          <t>Furniture</t>
        </is>
      </c>
      <c r="H36" t="n">
        <v>5</v>
      </c>
      <c r="I36" s="5" t="n">
        <v>299.99</v>
      </c>
      <c r="J36" t="inlineStr">
        <is>
          <t>Credit Card</t>
        </is>
      </c>
      <c r="K36" t="inlineStr">
        <is>
          <t>South</t>
        </is>
      </c>
      <c r="L36" t="inlineStr">
        <is>
          <t>Standard</t>
        </is>
      </c>
      <c r="M36" s="4" t="n">
        <v>44642</v>
      </c>
      <c r="N36" s="5" t="n">
        <v>1499.95</v>
      </c>
    </row>
    <row r="37">
      <c r="A37" t="inlineStr">
        <is>
          <t>TRX0036</t>
        </is>
      </c>
      <c r="B37" s="4" t="n">
        <v>45443</v>
      </c>
      <c r="C37" t="inlineStr">
        <is>
          <t>CUST004</t>
        </is>
      </c>
      <c r="D37" t="inlineStr">
        <is>
          <t>Sarah Davis</t>
        </is>
      </c>
      <c r="E37" t="inlineStr">
        <is>
          <t>P010</t>
        </is>
      </c>
      <c r="F37" t="inlineStr">
        <is>
          <t>Keyboard</t>
        </is>
      </c>
      <c r="G37" t="inlineStr">
        <is>
          <t>Electronics</t>
        </is>
      </c>
      <c r="H37" t="n">
        <v>5</v>
      </c>
      <c r="I37" s="5" t="n">
        <v>89.98999999999999</v>
      </c>
      <c r="J37" t="inlineStr">
        <is>
          <t>Debit Card</t>
        </is>
      </c>
      <c r="K37" t="inlineStr">
        <is>
          <t>North</t>
        </is>
      </c>
      <c r="L37" t="inlineStr">
        <is>
          <t>Basic</t>
        </is>
      </c>
      <c r="M37" s="4" t="n">
        <v>45393</v>
      </c>
      <c r="N37" s="5" t="n">
        <v>449.95</v>
      </c>
    </row>
    <row r="38">
      <c r="A38" t="inlineStr">
        <is>
          <t>TRX0037</t>
        </is>
      </c>
      <c r="B38" s="4" t="n">
        <v>45446</v>
      </c>
      <c r="C38" t="inlineStr">
        <is>
          <t>CUST032</t>
        </is>
      </c>
      <c r="D38" t="inlineStr">
        <is>
          <t>Sandra Phillips</t>
        </is>
      </c>
      <c r="E38" t="inlineStr">
        <is>
          <t>P009</t>
        </is>
      </c>
      <c r="F38" t="inlineStr">
        <is>
          <t>Monitor</t>
        </is>
      </c>
      <c r="G38" t="inlineStr">
        <is>
          <t>Electronics</t>
        </is>
      </c>
      <c r="H38" t="n">
        <v>5</v>
      </c>
      <c r="I38" s="5" t="n">
        <v>249.99</v>
      </c>
      <c r="J38" t="inlineStr">
        <is>
          <t>Cash</t>
        </is>
      </c>
      <c r="K38" t="inlineStr">
        <is>
          <t>Central</t>
        </is>
      </c>
      <c r="L38" t="inlineStr">
        <is>
          <t>Basic</t>
        </is>
      </c>
      <c r="M38" s="4" t="n">
        <v>44577</v>
      </c>
      <c r="N38" s="5" t="n">
        <v>1249.95</v>
      </c>
    </row>
    <row r="39">
      <c r="A39" t="inlineStr">
        <is>
          <t>TRX0038</t>
        </is>
      </c>
      <c r="B39" s="4" t="n">
        <v>45447</v>
      </c>
      <c r="C39" t="inlineStr">
        <is>
          <t>CUST006</t>
        </is>
      </c>
      <c r="D39" t="inlineStr">
        <is>
          <t>Lisa Anderson</t>
        </is>
      </c>
      <c r="E39" t="inlineStr">
        <is>
          <t>P010</t>
        </is>
      </c>
      <c r="F39" t="inlineStr">
        <is>
          <t>Keyboard</t>
        </is>
      </c>
      <c r="G39" t="inlineStr">
        <is>
          <t>Electronics</t>
        </is>
      </c>
      <c r="H39" t="n">
        <v>1</v>
      </c>
      <c r="I39" s="5" t="n">
        <v>89.98999999999999</v>
      </c>
      <c r="J39" t="inlineStr">
        <is>
          <t>PayPal</t>
        </is>
      </c>
      <c r="K39" t="inlineStr">
        <is>
          <t>North</t>
        </is>
      </c>
      <c r="L39" t="inlineStr">
        <is>
          <t>Premium</t>
        </is>
      </c>
      <c r="M39" s="4" t="n">
        <v>44701</v>
      </c>
      <c r="N39" s="5" t="n">
        <v>89.98999999999999</v>
      </c>
    </row>
    <row r="40">
      <c r="A40" t="inlineStr">
        <is>
          <t>TRX0039</t>
        </is>
      </c>
      <c r="B40" s="4" t="n">
        <v>45452</v>
      </c>
      <c r="C40" t="inlineStr">
        <is>
          <t>CUST040</t>
        </is>
      </c>
      <c r="D40" t="inlineStr">
        <is>
          <t>Sharon Butler</t>
        </is>
      </c>
      <c r="E40" t="inlineStr">
        <is>
          <t>P010</t>
        </is>
      </c>
      <c r="F40" t="inlineStr">
        <is>
          <t>Keyboard</t>
        </is>
      </c>
      <c r="G40" t="inlineStr">
        <is>
          <t>Electronics</t>
        </is>
      </c>
      <c r="H40" t="n">
        <v>1</v>
      </c>
      <c r="I40" s="5" t="n">
        <v>89.98999999999999</v>
      </c>
      <c r="J40" t="inlineStr">
        <is>
          <t>Cash</t>
        </is>
      </c>
      <c r="K40" t="inlineStr">
        <is>
          <t>West</t>
        </is>
      </c>
      <c r="L40" t="inlineStr">
        <is>
          <t>Premium</t>
        </is>
      </c>
      <c r="M40" s="4" t="n">
        <v>45392</v>
      </c>
      <c r="N40" s="5" t="n">
        <v>89.98999999999999</v>
      </c>
    </row>
    <row r="41">
      <c r="A41" t="inlineStr">
        <is>
          <t>TRX0040</t>
        </is>
      </c>
      <c r="B41" s="4" t="n">
        <v>45451</v>
      </c>
      <c r="C41" t="inlineStr">
        <is>
          <t>CUST039</t>
        </is>
      </c>
      <c r="D41" t="inlineStr">
        <is>
          <t>Lawrence Reed</t>
        </is>
      </c>
      <c r="E41" t="inlineStr">
        <is>
          <t>P009</t>
        </is>
      </c>
      <c r="F41" t="inlineStr">
        <is>
          <t>Monitor</t>
        </is>
      </c>
      <c r="G41" t="inlineStr">
        <is>
          <t>Electronics</t>
        </is>
      </c>
      <c r="H41" t="n">
        <v>3</v>
      </c>
      <c r="I41" s="5" t="n">
        <v>249.99</v>
      </c>
      <c r="J41" t="inlineStr">
        <is>
          <t>Credit Card</t>
        </is>
      </c>
      <c r="K41" t="inlineStr">
        <is>
          <t>East</t>
        </is>
      </c>
      <c r="L41" t="inlineStr">
        <is>
          <t>Basic</t>
        </is>
      </c>
      <c r="M41" s="4" t="n">
        <v>44740</v>
      </c>
      <c r="N41" s="5" t="n">
        <v>749.97</v>
      </c>
    </row>
    <row r="42">
      <c r="A42" t="inlineStr">
        <is>
          <t>TRX0041</t>
        </is>
      </c>
      <c r="B42" s="4" t="n">
        <v>45454</v>
      </c>
      <c r="C42" t="inlineStr">
        <is>
          <t>CUST027</t>
        </is>
      </c>
      <c r="D42" t="inlineStr">
        <is>
          <t>George Adams</t>
        </is>
      </c>
      <c r="E42" t="inlineStr">
        <is>
          <t>P003</t>
        </is>
      </c>
      <c r="F42" t="inlineStr">
        <is>
          <t>Headphones</t>
        </is>
      </c>
      <c r="G42" t="inlineStr">
        <is>
          <t>Electronics</t>
        </is>
      </c>
      <c r="H42" t="n">
        <v>3</v>
      </c>
      <c r="I42" s="5" t="n">
        <v>149.99</v>
      </c>
      <c r="J42" t="inlineStr">
        <is>
          <t>Debit Card</t>
        </is>
      </c>
      <c r="K42" t="inlineStr">
        <is>
          <t>North</t>
        </is>
      </c>
      <c r="L42" t="inlineStr">
        <is>
          <t>Basic</t>
        </is>
      </c>
      <c r="M42" s="4" t="n">
        <v>45135</v>
      </c>
      <c r="N42" s="5" t="n">
        <v>449.97</v>
      </c>
    </row>
    <row r="43">
      <c r="A43" t="inlineStr">
        <is>
          <t>TRX0042</t>
        </is>
      </c>
      <c r="B43" s="4" t="n">
        <v>45452</v>
      </c>
      <c r="C43" t="inlineStr">
        <is>
          <t>CUST043</t>
        </is>
      </c>
      <c r="D43" t="inlineStr">
        <is>
          <t>Dennis Gray</t>
        </is>
      </c>
      <c r="E43" t="inlineStr">
        <is>
          <t>P010</t>
        </is>
      </c>
      <c r="F43" t="inlineStr">
        <is>
          <t>Keyboard</t>
        </is>
      </c>
      <c r="G43" t="inlineStr">
        <is>
          <t>Electronics</t>
        </is>
      </c>
      <c r="H43" t="n">
        <v>1</v>
      </c>
      <c r="I43" s="5" t="n">
        <v>89.98999999999999</v>
      </c>
      <c r="J43" t="inlineStr">
        <is>
          <t>Credit Card</t>
        </is>
      </c>
      <c r="K43" t="inlineStr">
        <is>
          <t>Central</t>
        </is>
      </c>
      <c r="L43" t="inlineStr">
        <is>
          <t>Standard</t>
        </is>
      </c>
      <c r="M43" s="4" t="n">
        <v>44468</v>
      </c>
      <c r="N43" s="5" t="n">
        <v>89.98999999999999</v>
      </c>
    </row>
    <row r="44">
      <c r="A44" t="inlineStr">
        <is>
          <t>TRX0043</t>
        </is>
      </c>
      <c r="B44" s="4" t="n">
        <v>45455</v>
      </c>
      <c r="C44" t="inlineStr">
        <is>
          <t>CUST024</t>
        </is>
      </c>
      <c r="D44" t="inlineStr">
        <is>
          <t>Dorothy Nelson</t>
        </is>
      </c>
      <c r="E44" t="inlineStr">
        <is>
          <t>P002</t>
        </is>
      </c>
      <c r="F44" t="inlineStr">
        <is>
          <t>Smartphone</t>
        </is>
      </c>
      <c r="G44" t="inlineStr">
        <is>
          <t>Electronics</t>
        </is>
      </c>
      <c r="H44" t="n">
        <v>2</v>
      </c>
      <c r="I44" s="5" t="n">
        <v>699.99</v>
      </c>
      <c r="J44" t="inlineStr">
        <is>
          <t>Debit Card</t>
        </is>
      </c>
      <c r="K44" t="inlineStr">
        <is>
          <t>South</t>
        </is>
      </c>
      <c r="L44" t="inlineStr">
        <is>
          <t>Standard</t>
        </is>
      </c>
      <c r="M44" s="4" t="n">
        <v>45309</v>
      </c>
      <c r="N44" s="5" t="n">
        <v>1399.98</v>
      </c>
    </row>
    <row r="45">
      <c r="A45" t="inlineStr">
        <is>
          <t>TRX0044</t>
        </is>
      </c>
      <c r="B45" s="4" t="n">
        <v>45459</v>
      </c>
      <c r="C45" t="inlineStr">
        <is>
          <t>CUST049</t>
        </is>
      </c>
      <c r="D45" t="inlineStr">
        <is>
          <t>Raymond Ross</t>
        </is>
      </c>
      <c r="E45" t="inlineStr">
        <is>
          <t>P005</t>
        </is>
      </c>
      <c r="F45" t="inlineStr">
        <is>
          <t>Blender</t>
        </is>
      </c>
      <c r="G45" t="inlineStr">
        <is>
          <t>Appliances</t>
        </is>
      </c>
      <c r="H45" t="n">
        <v>5</v>
      </c>
      <c r="I45" s="5" t="n">
        <v>59.99</v>
      </c>
      <c r="J45" t="inlineStr">
        <is>
          <t>Cash</t>
        </is>
      </c>
      <c r="K45" t="inlineStr">
        <is>
          <t>Central</t>
        </is>
      </c>
      <c r="L45" t="inlineStr">
        <is>
          <t>Standard</t>
        </is>
      </c>
      <c r="M45" s="4" t="n">
        <v>44409</v>
      </c>
      <c r="N45" s="5" t="n">
        <v>299.95</v>
      </c>
    </row>
    <row r="46">
      <c r="A46" t="inlineStr">
        <is>
          <t>TRX0045</t>
        </is>
      </c>
      <c r="B46" s="4" t="n">
        <v>45456</v>
      </c>
      <c r="C46" t="inlineStr">
        <is>
          <t>CUST010</t>
        </is>
      </c>
      <c r="D46" t="inlineStr">
        <is>
          <t>Maria Garcia</t>
        </is>
      </c>
      <c r="E46" t="inlineStr">
        <is>
          <t>P005</t>
        </is>
      </c>
      <c r="F46" t="inlineStr">
        <is>
          <t>Blender</t>
        </is>
      </c>
      <c r="G46" t="inlineStr">
        <is>
          <t>Appliances</t>
        </is>
      </c>
      <c r="H46" t="n">
        <v>1</v>
      </c>
      <c r="I46" s="5" t="n">
        <v>59.99</v>
      </c>
      <c r="J46" t="inlineStr">
        <is>
          <t>Credit Card</t>
        </is>
      </c>
      <c r="K46" t="inlineStr">
        <is>
          <t>East</t>
        </is>
      </c>
      <c r="L46" t="inlineStr">
        <is>
          <t>Standard</t>
        </is>
      </c>
      <c r="M46" s="4" t="n">
        <v>44628</v>
      </c>
      <c r="N46" s="5" t="n">
        <v>59.99</v>
      </c>
    </row>
    <row r="47">
      <c r="A47" t="inlineStr">
        <is>
          <t>TRX0046</t>
        </is>
      </c>
      <c r="B47" s="4" t="n">
        <v>45460</v>
      </c>
      <c r="C47" t="inlineStr">
        <is>
          <t>CUST049</t>
        </is>
      </c>
      <c r="D47" t="inlineStr">
        <is>
          <t>Raymond Ross</t>
        </is>
      </c>
      <c r="E47" t="inlineStr">
        <is>
          <t>P006</t>
        </is>
      </c>
      <c r="F47" t="inlineStr">
        <is>
          <t>Office Chair</t>
        </is>
      </c>
      <c r="G47" t="inlineStr">
        <is>
          <t>Furniture</t>
        </is>
      </c>
      <c r="H47" t="n">
        <v>2</v>
      </c>
      <c r="I47" s="5" t="n">
        <v>199.99</v>
      </c>
      <c r="J47" t="inlineStr">
        <is>
          <t>PayPal</t>
        </is>
      </c>
      <c r="K47" t="inlineStr">
        <is>
          <t>East</t>
        </is>
      </c>
      <c r="L47" t="inlineStr">
        <is>
          <t>Basic</t>
        </is>
      </c>
      <c r="M47" s="4" t="n">
        <v>44386</v>
      </c>
      <c r="N47" s="5" t="n">
        <v>399.98</v>
      </c>
    </row>
    <row r="48">
      <c r="A48" t="inlineStr">
        <is>
          <t>TRX0047</t>
        </is>
      </c>
      <c r="B48" s="4" t="n">
        <v>45459</v>
      </c>
      <c r="C48" t="inlineStr">
        <is>
          <t>CUST044</t>
        </is>
      </c>
      <c r="D48" t="inlineStr">
        <is>
          <t>Cynthia Price</t>
        </is>
      </c>
      <c r="E48" t="inlineStr">
        <is>
          <t>P007</t>
        </is>
      </c>
      <c r="F48" t="inlineStr">
        <is>
          <t>Desk</t>
        </is>
      </c>
      <c r="G48" t="inlineStr">
        <is>
          <t>Furniture</t>
        </is>
      </c>
      <c r="H48" t="n">
        <v>3</v>
      </c>
      <c r="I48" s="5" t="n">
        <v>299.99</v>
      </c>
      <c r="J48" t="inlineStr">
        <is>
          <t>Cash</t>
        </is>
      </c>
      <c r="K48" t="inlineStr">
        <is>
          <t>East</t>
        </is>
      </c>
      <c r="L48" t="inlineStr">
        <is>
          <t>Basic</t>
        </is>
      </c>
      <c r="M48" s="4" t="n">
        <v>44733</v>
      </c>
      <c r="N48" s="5" t="n">
        <v>899.97</v>
      </c>
    </row>
    <row r="49">
      <c r="A49" t="inlineStr">
        <is>
          <t>TRX0048</t>
        </is>
      </c>
      <c r="B49" s="4" t="n">
        <v>45464</v>
      </c>
      <c r="C49" t="inlineStr">
        <is>
          <t>CUST012</t>
        </is>
      </c>
      <c r="D49" t="inlineStr">
        <is>
          <t>Patricia Moore</t>
        </is>
      </c>
      <c r="E49" t="inlineStr">
        <is>
          <t>P008</t>
        </is>
      </c>
      <c r="F49" t="inlineStr">
        <is>
          <t>Bookshelf</t>
        </is>
      </c>
      <c r="G49" t="inlineStr">
        <is>
          <t>Furniture</t>
        </is>
      </c>
      <c r="H49" t="n">
        <v>5</v>
      </c>
      <c r="I49" s="5" t="n">
        <v>149.99</v>
      </c>
      <c r="J49" t="inlineStr">
        <is>
          <t>Cash</t>
        </is>
      </c>
      <c r="K49" t="inlineStr">
        <is>
          <t>North</t>
        </is>
      </c>
      <c r="L49" t="inlineStr">
        <is>
          <t>Basic</t>
        </is>
      </c>
      <c r="M49" s="4" t="n">
        <v>44502</v>
      </c>
      <c r="N49" s="5" t="n">
        <v>749.95</v>
      </c>
    </row>
    <row r="50">
      <c r="A50" t="inlineStr">
        <is>
          <t>TRX0049</t>
        </is>
      </c>
      <c r="B50" s="4" t="n">
        <v>45466</v>
      </c>
      <c r="C50" t="inlineStr">
        <is>
          <t>CUST036</t>
        </is>
      </c>
      <c r="D50" t="inlineStr">
        <is>
          <t>Nancy Collins</t>
        </is>
      </c>
      <c r="E50" t="inlineStr">
        <is>
          <t>P001</t>
        </is>
      </c>
      <c r="F50" t="inlineStr">
        <is>
          <t>Laptop</t>
        </is>
      </c>
      <c r="G50" t="inlineStr">
        <is>
          <t>Electronics</t>
        </is>
      </c>
      <c r="H50" t="n">
        <v>3</v>
      </c>
      <c r="I50" s="5" t="n">
        <v>899.99</v>
      </c>
      <c r="J50" t="inlineStr">
        <is>
          <t>Credit Card</t>
        </is>
      </c>
      <c r="K50" t="inlineStr">
        <is>
          <t>West</t>
        </is>
      </c>
      <c r="L50" t="inlineStr">
        <is>
          <t>Basic</t>
        </is>
      </c>
      <c r="M50" s="4" t="n">
        <v>44282</v>
      </c>
      <c r="N50" s="5" t="n">
        <v>2699.97</v>
      </c>
    </row>
    <row r="51">
      <c r="A51" t="inlineStr">
        <is>
          <t>TRX0050</t>
        </is>
      </c>
      <c r="B51" s="4" t="n">
        <v>45466</v>
      </c>
      <c r="C51" t="inlineStr">
        <is>
          <t>CUST021</t>
        </is>
      </c>
      <c r="D51" t="inlineStr">
        <is>
          <t>Kevin Scott</t>
        </is>
      </c>
      <c r="E51" t="inlineStr">
        <is>
          <t>P006</t>
        </is>
      </c>
      <c r="F51" t="inlineStr">
        <is>
          <t>Office Chair</t>
        </is>
      </c>
      <c r="G51" t="inlineStr">
        <is>
          <t>Furniture</t>
        </is>
      </c>
      <c r="H51" t="n">
        <v>1</v>
      </c>
      <c r="I51" s="5" t="n">
        <v>199.99</v>
      </c>
      <c r="J51" t="inlineStr">
        <is>
          <t>Credit Card</t>
        </is>
      </c>
      <c r="K51" t="inlineStr">
        <is>
          <t>South</t>
        </is>
      </c>
      <c r="L51" t="inlineStr">
        <is>
          <t>Premium</t>
        </is>
      </c>
      <c r="M51" s="4" t="n">
        <v>44407</v>
      </c>
      <c r="N51" s="5" t="n">
        <v>199.99</v>
      </c>
    </row>
    <row r="52">
      <c r="A52" t="inlineStr">
        <is>
          <t>TRX0051</t>
        </is>
      </c>
      <c r="B52" s="4" t="n">
        <v>45469</v>
      </c>
      <c r="C52" t="inlineStr">
        <is>
          <t>CUST024</t>
        </is>
      </c>
      <c r="D52" t="inlineStr">
        <is>
          <t>Dorothy Nelson</t>
        </is>
      </c>
      <c r="E52" t="inlineStr">
        <is>
          <t>P009</t>
        </is>
      </c>
      <c r="F52" t="inlineStr">
        <is>
          <t>Monitor</t>
        </is>
      </c>
      <c r="G52" t="inlineStr">
        <is>
          <t>Electronics</t>
        </is>
      </c>
      <c r="H52" t="n">
        <v>4</v>
      </c>
      <c r="I52" s="5" t="n">
        <v>249.99</v>
      </c>
      <c r="J52" t="inlineStr">
        <is>
          <t>Credit Card</t>
        </is>
      </c>
      <c r="K52" t="inlineStr">
        <is>
          <t>South</t>
        </is>
      </c>
      <c r="L52" t="inlineStr">
        <is>
          <t>Basic</t>
        </is>
      </c>
      <c r="M52" s="4" t="n">
        <v>44559</v>
      </c>
      <c r="N52" s="5" t="n">
        <v>999.96</v>
      </c>
    </row>
    <row r="53">
      <c r="A53" t="inlineStr">
        <is>
          <t>TRX0052</t>
        </is>
      </c>
      <c r="B53" s="4" t="n">
        <v>45468</v>
      </c>
      <c r="C53" t="inlineStr">
        <is>
          <t>CUST028</t>
        </is>
      </c>
      <c r="D53" t="inlineStr">
        <is>
          <t>Betty Campbell</t>
        </is>
      </c>
      <c r="E53" t="inlineStr">
        <is>
          <t>P001</t>
        </is>
      </c>
      <c r="F53" t="inlineStr">
        <is>
          <t>Laptop</t>
        </is>
      </c>
      <c r="G53" t="inlineStr">
        <is>
          <t>Electronics</t>
        </is>
      </c>
      <c r="H53" t="n">
        <v>2</v>
      </c>
      <c r="I53" s="5" t="n">
        <v>899.99</v>
      </c>
      <c r="J53" t="inlineStr">
        <is>
          <t>PayPal</t>
        </is>
      </c>
      <c r="K53" t="inlineStr">
        <is>
          <t>South</t>
        </is>
      </c>
      <c r="L53" t="inlineStr">
        <is>
          <t>Standard</t>
        </is>
      </c>
      <c r="M53" s="4" t="n">
        <v>44523</v>
      </c>
      <c r="N53" s="5" t="n">
        <v>1799.98</v>
      </c>
    </row>
    <row r="54">
      <c r="A54" t="inlineStr">
        <is>
          <t>TRX0053</t>
        </is>
      </c>
      <c r="B54" s="4" t="n">
        <v>45468</v>
      </c>
      <c r="C54" t="inlineStr">
        <is>
          <t>CUST048</t>
        </is>
      </c>
      <c r="D54" t="inlineStr">
        <is>
          <t>Virginia Sanders</t>
        </is>
      </c>
      <c r="E54" t="inlineStr">
        <is>
          <t>P002</t>
        </is>
      </c>
      <c r="F54" t="inlineStr">
        <is>
          <t>Smartphone</t>
        </is>
      </c>
      <c r="G54" t="inlineStr">
        <is>
          <t>Electronics</t>
        </is>
      </c>
      <c r="H54" t="n">
        <v>4</v>
      </c>
      <c r="I54" s="5" t="n">
        <v>699.99</v>
      </c>
      <c r="J54" t="inlineStr">
        <is>
          <t>PayPal</t>
        </is>
      </c>
      <c r="K54" t="inlineStr">
        <is>
          <t>South</t>
        </is>
      </c>
      <c r="L54" t="inlineStr">
        <is>
          <t>Basic</t>
        </is>
      </c>
      <c r="M54" s="4" t="n">
        <v>45139</v>
      </c>
      <c r="N54" s="5" t="n">
        <v>2799.96</v>
      </c>
    </row>
    <row r="55">
      <c r="A55" t="inlineStr">
        <is>
          <t>TRX0054</t>
        </is>
      </c>
      <c r="B55" s="4" t="n">
        <v>45470</v>
      </c>
      <c r="C55" t="inlineStr">
        <is>
          <t>CUST024</t>
        </is>
      </c>
      <c r="D55" t="inlineStr">
        <is>
          <t>Dorothy Nelson</t>
        </is>
      </c>
      <c r="E55" t="inlineStr">
        <is>
          <t>P005</t>
        </is>
      </c>
      <c r="F55" t="inlineStr">
        <is>
          <t>Blender</t>
        </is>
      </c>
      <c r="G55" t="inlineStr">
        <is>
          <t>Appliances</t>
        </is>
      </c>
      <c r="H55" t="n">
        <v>2</v>
      </c>
      <c r="I55" s="5" t="n">
        <v>59.99</v>
      </c>
      <c r="J55" t="inlineStr">
        <is>
          <t>Cash</t>
        </is>
      </c>
      <c r="K55" t="inlineStr">
        <is>
          <t>South</t>
        </is>
      </c>
      <c r="L55" t="inlineStr">
        <is>
          <t>Standard</t>
        </is>
      </c>
      <c r="M55" s="4" t="n">
        <v>44869</v>
      </c>
      <c r="N55" s="5" t="n">
        <v>119.98</v>
      </c>
    </row>
    <row r="56">
      <c r="A56" t="inlineStr">
        <is>
          <t>TRX0055</t>
        </is>
      </c>
      <c r="B56" s="4" t="n">
        <v>45473</v>
      </c>
      <c r="C56" t="inlineStr">
        <is>
          <t>CUST019</t>
        </is>
      </c>
      <c r="D56" t="inlineStr">
        <is>
          <t>Daniel King</t>
        </is>
      </c>
      <c r="E56" t="inlineStr">
        <is>
          <t>P002</t>
        </is>
      </c>
      <c r="F56" t="inlineStr">
        <is>
          <t>Smartphone</t>
        </is>
      </c>
      <c r="G56" t="inlineStr">
        <is>
          <t>Electronics</t>
        </is>
      </c>
      <c r="H56" t="n">
        <v>3</v>
      </c>
      <c r="I56" s="5" t="n">
        <v>699.99</v>
      </c>
      <c r="J56" t="inlineStr">
        <is>
          <t>PayPal</t>
        </is>
      </c>
      <c r="K56" t="inlineStr">
        <is>
          <t>Central</t>
        </is>
      </c>
      <c r="L56" t="inlineStr">
        <is>
          <t>Standard</t>
        </is>
      </c>
      <c r="M56" s="4" t="n">
        <v>44253</v>
      </c>
      <c r="N56" s="5" t="n">
        <v>2099.97</v>
      </c>
    </row>
    <row r="57">
      <c r="A57" t="inlineStr">
        <is>
          <t>TRX0056</t>
        </is>
      </c>
      <c r="B57" s="4" t="n">
        <v>45476</v>
      </c>
      <c r="C57" t="inlineStr">
        <is>
          <t>CUST009</t>
        </is>
      </c>
      <c r="D57" t="inlineStr">
        <is>
          <t>Robert Thomas</t>
        </is>
      </c>
      <c r="E57" t="inlineStr">
        <is>
          <t>P005</t>
        </is>
      </c>
      <c r="F57" t="inlineStr">
        <is>
          <t>Blender</t>
        </is>
      </c>
      <c r="G57" t="inlineStr">
        <is>
          <t>Appliances</t>
        </is>
      </c>
      <c r="H57" t="n">
        <v>2</v>
      </c>
      <c r="I57" s="5" t="n">
        <v>59.99</v>
      </c>
      <c r="J57" t="inlineStr">
        <is>
          <t>Debit Card</t>
        </is>
      </c>
      <c r="K57" t="inlineStr">
        <is>
          <t>North</t>
        </is>
      </c>
      <c r="L57" t="inlineStr">
        <is>
          <t>Basic</t>
        </is>
      </c>
      <c r="M57" s="4" t="n">
        <v>45086</v>
      </c>
      <c r="N57" s="5" t="n">
        <v>119.98</v>
      </c>
    </row>
    <row r="58">
      <c r="A58" t="inlineStr">
        <is>
          <t>TRX0057</t>
        </is>
      </c>
      <c r="B58" s="4" t="n">
        <v>45478</v>
      </c>
      <c r="C58" t="inlineStr">
        <is>
          <t>CUST024</t>
        </is>
      </c>
      <c r="D58" t="inlineStr">
        <is>
          <t>Dorothy Nelson</t>
        </is>
      </c>
      <c r="E58" t="inlineStr">
        <is>
          <t>P006</t>
        </is>
      </c>
      <c r="F58" t="inlineStr">
        <is>
          <t>Office Chair</t>
        </is>
      </c>
      <c r="G58" t="inlineStr">
        <is>
          <t>Furniture</t>
        </is>
      </c>
      <c r="H58" t="n">
        <v>4</v>
      </c>
      <c r="I58" s="5" t="n">
        <v>199.99</v>
      </c>
      <c r="J58" t="inlineStr">
        <is>
          <t>Cash</t>
        </is>
      </c>
      <c r="K58" t="inlineStr">
        <is>
          <t>West</t>
        </is>
      </c>
      <c r="L58" t="inlineStr">
        <is>
          <t>Premium</t>
        </is>
      </c>
      <c r="M58" s="4" t="n">
        <v>44586</v>
      </c>
      <c r="N58" s="5" t="n">
        <v>799.96</v>
      </c>
    </row>
    <row r="59">
      <c r="A59" t="inlineStr">
        <is>
          <t>TRX0058</t>
        </is>
      </c>
      <c r="B59" s="4" t="n">
        <v>45475</v>
      </c>
      <c r="C59" t="inlineStr">
        <is>
          <t>CUST018</t>
        </is>
      </c>
      <c r="D59" t="inlineStr">
        <is>
          <t>Barbara Young</t>
        </is>
      </c>
      <c r="E59" t="inlineStr">
        <is>
          <t>P001</t>
        </is>
      </c>
      <c r="F59" t="inlineStr">
        <is>
          <t>Laptop</t>
        </is>
      </c>
      <c r="G59" t="inlineStr">
        <is>
          <t>Electronics</t>
        </is>
      </c>
      <c r="H59" t="n">
        <v>4</v>
      </c>
      <c r="I59" s="5" t="n">
        <v>899.99</v>
      </c>
      <c r="J59" t="inlineStr">
        <is>
          <t>Credit Card</t>
        </is>
      </c>
      <c r="K59" t="inlineStr">
        <is>
          <t>East</t>
        </is>
      </c>
      <c r="L59" t="inlineStr">
        <is>
          <t>Standard</t>
        </is>
      </c>
      <c r="M59" s="4" t="n">
        <v>44340</v>
      </c>
      <c r="N59" s="5" t="n">
        <v>3599.96</v>
      </c>
    </row>
    <row r="60">
      <c r="A60" t="inlineStr">
        <is>
          <t>TRX0059</t>
        </is>
      </c>
      <c r="B60" s="4" t="n">
        <v>45479</v>
      </c>
      <c r="C60" t="inlineStr">
        <is>
          <t>CUST046</t>
        </is>
      </c>
      <c r="D60" t="inlineStr">
        <is>
          <t>Kathleen Bennett</t>
        </is>
      </c>
      <c r="E60" t="inlineStr">
        <is>
          <t>P006</t>
        </is>
      </c>
      <c r="F60" t="inlineStr">
        <is>
          <t>Office Chair</t>
        </is>
      </c>
      <c r="G60" t="inlineStr">
        <is>
          <t>Furniture</t>
        </is>
      </c>
      <c r="H60" t="n">
        <v>5</v>
      </c>
      <c r="I60" s="5" t="n">
        <v>199.99</v>
      </c>
      <c r="J60" t="inlineStr">
        <is>
          <t>Cash</t>
        </is>
      </c>
      <c r="K60" t="inlineStr">
        <is>
          <t>East</t>
        </is>
      </c>
      <c r="L60" t="inlineStr">
        <is>
          <t>Premium</t>
        </is>
      </c>
      <c r="M60" s="4" t="n">
        <v>44830</v>
      </c>
      <c r="N60" s="5" t="n">
        <v>999.95</v>
      </c>
    </row>
    <row r="61">
      <c r="A61" t="inlineStr">
        <is>
          <t>TRX0060</t>
        </is>
      </c>
      <c r="B61" s="4" t="n">
        <v>45481</v>
      </c>
      <c r="C61" t="inlineStr">
        <is>
          <t>CUST046</t>
        </is>
      </c>
      <c r="D61" t="inlineStr">
        <is>
          <t>Kathleen Bennett</t>
        </is>
      </c>
      <c r="E61" t="inlineStr">
        <is>
          <t>P007</t>
        </is>
      </c>
      <c r="F61" t="inlineStr">
        <is>
          <t>Desk</t>
        </is>
      </c>
      <c r="G61" t="inlineStr">
        <is>
          <t>Furniture</t>
        </is>
      </c>
      <c r="H61" t="n">
        <v>3</v>
      </c>
      <c r="I61" s="5" t="n">
        <v>299.99</v>
      </c>
      <c r="J61" t="inlineStr">
        <is>
          <t>Debit Card</t>
        </is>
      </c>
      <c r="K61" t="inlineStr">
        <is>
          <t>Central</t>
        </is>
      </c>
      <c r="L61" t="inlineStr">
        <is>
          <t>Basic</t>
        </is>
      </c>
      <c r="M61" s="4" t="n">
        <v>44589</v>
      </c>
      <c r="N61" s="5" t="n">
        <v>899.97</v>
      </c>
    </row>
    <row r="62">
      <c r="A62" t="inlineStr">
        <is>
          <t>TRX0061</t>
        </is>
      </c>
      <c r="B62" s="4" t="n">
        <v>45484</v>
      </c>
      <c r="C62" t="inlineStr">
        <is>
          <t>CUST028</t>
        </is>
      </c>
      <c r="D62" t="inlineStr">
        <is>
          <t>Betty Campbell</t>
        </is>
      </c>
      <c r="E62" t="inlineStr">
        <is>
          <t>P007</t>
        </is>
      </c>
      <c r="F62" t="inlineStr">
        <is>
          <t>Desk</t>
        </is>
      </c>
      <c r="G62" t="inlineStr">
        <is>
          <t>Furniture</t>
        </is>
      </c>
      <c r="H62" t="n">
        <v>2</v>
      </c>
      <c r="I62" s="5" t="n">
        <v>299.99</v>
      </c>
      <c r="J62" t="inlineStr">
        <is>
          <t>Debit Card</t>
        </is>
      </c>
      <c r="K62" t="inlineStr">
        <is>
          <t>West</t>
        </is>
      </c>
      <c r="L62" t="inlineStr">
        <is>
          <t>Premium</t>
        </is>
      </c>
      <c r="M62" s="4" t="n">
        <v>44197</v>
      </c>
      <c r="N62" s="5" t="n">
        <v>599.98</v>
      </c>
    </row>
    <row r="63">
      <c r="A63" t="inlineStr">
        <is>
          <t>TRX0062</t>
        </is>
      </c>
      <c r="B63" s="4" t="n">
        <v>45484</v>
      </c>
      <c r="C63" t="inlineStr">
        <is>
          <t>CUST021</t>
        </is>
      </c>
      <c r="D63" t="inlineStr">
        <is>
          <t>Kevin Scott</t>
        </is>
      </c>
      <c r="E63" t="inlineStr">
        <is>
          <t>P005</t>
        </is>
      </c>
      <c r="F63" t="inlineStr">
        <is>
          <t>Blender</t>
        </is>
      </c>
      <c r="G63" t="inlineStr">
        <is>
          <t>Appliances</t>
        </is>
      </c>
      <c r="H63" t="n">
        <v>2</v>
      </c>
      <c r="I63" s="5" t="n">
        <v>59.99</v>
      </c>
      <c r="J63" t="inlineStr">
        <is>
          <t>Debit Card</t>
        </is>
      </c>
      <c r="K63" t="inlineStr">
        <is>
          <t>West</t>
        </is>
      </c>
      <c r="L63" t="inlineStr">
        <is>
          <t>Standard</t>
        </is>
      </c>
      <c r="M63" s="4" t="n">
        <v>45102</v>
      </c>
      <c r="N63" s="5" t="n">
        <v>119.98</v>
      </c>
    </row>
    <row r="64">
      <c r="A64" t="inlineStr">
        <is>
          <t>TRX0063</t>
        </is>
      </c>
      <c r="B64" s="4" t="n">
        <v>45485</v>
      </c>
      <c r="C64" t="inlineStr">
        <is>
          <t>CUST047</t>
        </is>
      </c>
      <c r="D64" t="inlineStr">
        <is>
          <t>Gerald Murphy</t>
        </is>
      </c>
      <c r="E64" t="inlineStr">
        <is>
          <t>P004</t>
        </is>
      </c>
      <c r="F64" t="inlineStr">
        <is>
          <t>Coffee Maker</t>
        </is>
      </c>
      <c r="G64" t="inlineStr">
        <is>
          <t>Appliances</t>
        </is>
      </c>
      <c r="H64" t="n">
        <v>5</v>
      </c>
      <c r="I64" s="5" t="n">
        <v>79.98999999999999</v>
      </c>
      <c r="J64" t="inlineStr">
        <is>
          <t>Credit Card</t>
        </is>
      </c>
      <c r="K64" t="inlineStr">
        <is>
          <t>North</t>
        </is>
      </c>
      <c r="L64" t="inlineStr">
        <is>
          <t>Standard</t>
        </is>
      </c>
      <c r="M64" s="4" t="n">
        <v>45252</v>
      </c>
      <c r="N64" s="5" t="n">
        <v>399.95</v>
      </c>
    </row>
    <row r="65">
      <c r="A65" t="inlineStr">
        <is>
          <t>TRX0064</t>
        </is>
      </c>
      <c r="B65" s="4" t="n">
        <v>45484</v>
      </c>
      <c r="C65" t="inlineStr">
        <is>
          <t>CUST046</t>
        </is>
      </c>
      <c r="D65" t="inlineStr">
        <is>
          <t>Kathleen Bennett</t>
        </is>
      </c>
      <c r="E65" t="inlineStr">
        <is>
          <t>P010</t>
        </is>
      </c>
      <c r="F65" t="inlineStr">
        <is>
          <t>Keyboard</t>
        </is>
      </c>
      <c r="G65" t="inlineStr">
        <is>
          <t>Electronics</t>
        </is>
      </c>
      <c r="H65" t="n">
        <v>3</v>
      </c>
      <c r="I65" s="5" t="n">
        <v>89.98999999999999</v>
      </c>
      <c r="J65" t="inlineStr">
        <is>
          <t>Credit Card</t>
        </is>
      </c>
      <c r="K65" t="inlineStr">
        <is>
          <t>East</t>
        </is>
      </c>
      <c r="L65" t="inlineStr">
        <is>
          <t>Basic</t>
        </is>
      </c>
      <c r="M65" s="4" t="n">
        <v>44604</v>
      </c>
      <c r="N65" s="5" t="n">
        <v>269.97</v>
      </c>
    </row>
    <row r="66">
      <c r="A66" t="inlineStr">
        <is>
          <t>TRX0065</t>
        </is>
      </c>
      <c r="B66" s="4" t="n">
        <v>45486</v>
      </c>
      <c r="C66" t="inlineStr">
        <is>
          <t>CUST011</t>
        </is>
      </c>
      <c r="D66" t="inlineStr">
        <is>
          <t>William White</t>
        </is>
      </c>
      <c r="E66" t="inlineStr">
        <is>
          <t>P001</t>
        </is>
      </c>
      <c r="F66" t="inlineStr">
        <is>
          <t>Laptop</t>
        </is>
      </c>
      <c r="G66" t="inlineStr">
        <is>
          <t>Electronics</t>
        </is>
      </c>
      <c r="H66" t="n">
        <v>1</v>
      </c>
      <c r="I66" s="5" t="n">
        <v>899.99</v>
      </c>
      <c r="J66" t="inlineStr">
        <is>
          <t>PayPal</t>
        </is>
      </c>
      <c r="K66" t="inlineStr">
        <is>
          <t>Central</t>
        </is>
      </c>
      <c r="L66" t="inlineStr">
        <is>
          <t>Basic</t>
        </is>
      </c>
      <c r="M66" s="4" t="n">
        <v>45129</v>
      </c>
      <c r="N66" s="5" t="n">
        <v>899.99</v>
      </c>
    </row>
    <row r="67">
      <c r="A67" t="inlineStr">
        <is>
          <t>TRX0066</t>
        </is>
      </c>
      <c r="B67" s="4" t="n">
        <v>45490</v>
      </c>
      <c r="C67" t="inlineStr">
        <is>
          <t>CUST028</t>
        </is>
      </c>
      <c r="D67" t="inlineStr">
        <is>
          <t>Betty Campbell</t>
        </is>
      </c>
      <c r="E67" t="inlineStr">
        <is>
          <t>P010</t>
        </is>
      </c>
      <c r="F67" t="inlineStr">
        <is>
          <t>Keyboard</t>
        </is>
      </c>
      <c r="G67" t="inlineStr">
        <is>
          <t>Electronics</t>
        </is>
      </c>
      <c r="H67" t="n">
        <v>2</v>
      </c>
      <c r="I67" s="5" t="n">
        <v>89.98999999999999</v>
      </c>
      <c r="J67" t="inlineStr">
        <is>
          <t>PayPal</t>
        </is>
      </c>
      <c r="K67" t="inlineStr">
        <is>
          <t>West</t>
        </is>
      </c>
      <c r="L67" t="inlineStr">
        <is>
          <t>Basic</t>
        </is>
      </c>
      <c r="M67" s="4" t="n">
        <v>44499</v>
      </c>
      <c r="N67" s="5" t="n">
        <v>179.98</v>
      </c>
    </row>
    <row r="68">
      <c r="A68" t="inlineStr">
        <is>
          <t>TRX0067</t>
        </is>
      </c>
      <c r="B68" s="4" t="n">
        <v>45491</v>
      </c>
      <c r="C68" t="inlineStr">
        <is>
          <t>CUST045</t>
        </is>
      </c>
      <c r="D68" t="inlineStr">
        <is>
          <t>Douglas Watson</t>
        </is>
      </c>
      <c r="E68" t="inlineStr">
        <is>
          <t>P001</t>
        </is>
      </c>
      <c r="F68" t="inlineStr">
        <is>
          <t>Laptop</t>
        </is>
      </c>
      <c r="G68" t="inlineStr">
        <is>
          <t>Electronics</t>
        </is>
      </c>
      <c r="H68" t="n">
        <v>1</v>
      </c>
      <c r="I68" s="5" t="n">
        <v>899.99</v>
      </c>
      <c r="J68" t="inlineStr">
        <is>
          <t>Credit Card</t>
        </is>
      </c>
      <c r="K68" t="inlineStr">
        <is>
          <t>South</t>
        </is>
      </c>
      <c r="L68" t="inlineStr">
        <is>
          <t>Premium</t>
        </is>
      </c>
      <c r="M68" s="4" t="n">
        <v>45257</v>
      </c>
      <c r="N68" s="5" t="n">
        <v>899.99</v>
      </c>
    </row>
    <row r="69">
      <c r="A69" t="inlineStr">
        <is>
          <t>TRX0068</t>
        </is>
      </c>
      <c r="B69" s="4" t="n">
        <v>45491</v>
      </c>
      <c r="C69" t="inlineStr">
        <is>
          <t>CUST031</t>
        </is>
      </c>
      <c r="D69" t="inlineStr">
        <is>
          <t>Steven Turner</t>
        </is>
      </c>
      <c r="E69" t="inlineStr">
        <is>
          <t>P001</t>
        </is>
      </c>
      <c r="F69" t="inlineStr">
        <is>
          <t>Laptop</t>
        </is>
      </c>
      <c r="G69" t="inlineStr">
        <is>
          <t>Electronics</t>
        </is>
      </c>
      <c r="H69" t="n">
        <v>5</v>
      </c>
      <c r="I69" s="5" t="n">
        <v>899.99</v>
      </c>
      <c r="J69" t="inlineStr">
        <is>
          <t>Cash</t>
        </is>
      </c>
      <c r="K69" t="inlineStr">
        <is>
          <t>West</t>
        </is>
      </c>
      <c r="L69" t="inlineStr">
        <is>
          <t>Basic</t>
        </is>
      </c>
      <c r="M69" s="4" t="n">
        <v>45148</v>
      </c>
      <c r="N69" s="5" t="n">
        <v>4499.95</v>
      </c>
    </row>
    <row r="70">
      <c r="A70" t="inlineStr">
        <is>
          <t>TRX0069</t>
        </is>
      </c>
      <c r="B70" s="4" t="n">
        <v>45495</v>
      </c>
      <c r="C70" t="inlineStr">
        <is>
          <t>CUST046</t>
        </is>
      </c>
      <c r="D70" t="inlineStr">
        <is>
          <t>Kathleen Bennett</t>
        </is>
      </c>
      <c r="E70" t="inlineStr">
        <is>
          <t>P009</t>
        </is>
      </c>
      <c r="F70" t="inlineStr">
        <is>
          <t>Monitor</t>
        </is>
      </c>
      <c r="G70" t="inlineStr">
        <is>
          <t>Electronics</t>
        </is>
      </c>
      <c r="H70" t="n">
        <v>5</v>
      </c>
      <c r="I70" s="5" t="n">
        <v>249.99</v>
      </c>
      <c r="J70" t="inlineStr">
        <is>
          <t>Debit Card</t>
        </is>
      </c>
      <c r="K70" t="inlineStr">
        <is>
          <t>West</t>
        </is>
      </c>
      <c r="L70" t="inlineStr">
        <is>
          <t>Premium</t>
        </is>
      </c>
      <c r="M70" s="4" t="n">
        <v>45230</v>
      </c>
      <c r="N70" s="5" t="n">
        <v>1249.95</v>
      </c>
    </row>
    <row r="71">
      <c r="A71" t="inlineStr">
        <is>
          <t>TRX0070</t>
        </is>
      </c>
      <c r="B71" s="4" t="n">
        <v>45494</v>
      </c>
      <c r="C71" t="inlineStr">
        <is>
          <t>CUST029</t>
        </is>
      </c>
      <c r="D71" t="inlineStr">
        <is>
          <t>Edward Mitchell</t>
        </is>
      </c>
      <c r="E71" t="inlineStr">
        <is>
          <t>P009</t>
        </is>
      </c>
      <c r="F71" t="inlineStr">
        <is>
          <t>Monitor</t>
        </is>
      </c>
      <c r="G71" t="inlineStr">
        <is>
          <t>Electronics</t>
        </is>
      </c>
      <c r="H71" t="n">
        <v>4</v>
      </c>
      <c r="I71" s="5" t="n">
        <v>249.99</v>
      </c>
      <c r="J71" t="inlineStr">
        <is>
          <t>PayPal</t>
        </is>
      </c>
      <c r="K71" t="inlineStr">
        <is>
          <t>West</t>
        </is>
      </c>
      <c r="L71" t="inlineStr">
        <is>
          <t>Standard</t>
        </is>
      </c>
      <c r="M71" s="4" t="n">
        <v>44703</v>
      </c>
      <c r="N71" s="5" t="n">
        <v>999.96</v>
      </c>
    </row>
    <row r="72">
      <c r="A72" t="inlineStr">
        <is>
          <t>TRX0071</t>
        </is>
      </c>
      <c r="B72" s="4" t="n">
        <v>45497</v>
      </c>
      <c r="C72" t="inlineStr">
        <is>
          <t>CUST044</t>
        </is>
      </c>
      <c r="D72" t="inlineStr">
        <is>
          <t>Cynthia Price</t>
        </is>
      </c>
      <c r="E72" t="inlineStr">
        <is>
          <t>P005</t>
        </is>
      </c>
      <c r="F72" t="inlineStr">
        <is>
          <t>Blender</t>
        </is>
      </c>
      <c r="G72" t="inlineStr">
        <is>
          <t>Appliances</t>
        </is>
      </c>
      <c r="H72" t="n">
        <v>5</v>
      </c>
      <c r="I72" s="5" t="n">
        <v>59.99</v>
      </c>
      <c r="J72" t="inlineStr">
        <is>
          <t>Credit Card</t>
        </is>
      </c>
      <c r="K72" t="inlineStr">
        <is>
          <t>East</t>
        </is>
      </c>
      <c r="L72" t="inlineStr">
        <is>
          <t>Standard</t>
        </is>
      </c>
      <c r="M72" s="4" t="n">
        <v>44355</v>
      </c>
      <c r="N72" s="5" t="n">
        <v>299.95</v>
      </c>
    </row>
    <row r="73">
      <c r="A73" t="inlineStr">
        <is>
          <t>TRX0072</t>
        </is>
      </c>
      <c r="B73" s="4" t="n">
        <v>45497</v>
      </c>
      <c r="C73" t="inlineStr">
        <is>
          <t>CUST049</t>
        </is>
      </c>
      <c r="D73" t="inlineStr">
        <is>
          <t>Raymond Ross</t>
        </is>
      </c>
      <c r="E73" t="inlineStr">
        <is>
          <t>P005</t>
        </is>
      </c>
      <c r="F73" t="inlineStr">
        <is>
          <t>Blender</t>
        </is>
      </c>
      <c r="G73" t="inlineStr">
        <is>
          <t>Appliances</t>
        </is>
      </c>
      <c r="H73" t="n">
        <v>2</v>
      </c>
      <c r="I73" s="5" t="n">
        <v>59.99</v>
      </c>
      <c r="J73" t="inlineStr">
        <is>
          <t>Debit Card</t>
        </is>
      </c>
      <c r="K73" t="inlineStr">
        <is>
          <t>East</t>
        </is>
      </c>
      <c r="L73" t="inlineStr">
        <is>
          <t>Premium</t>
        </is>
      </c>
      <c r="M73" s="4" t="n">
        <v>44362</v>
      </c>
      <c r="N73" s="5" t="n">
        <v>119.98</v>
      </c>
    </row>
    <row r="74">
      <c r="A74" t="inlineStr">
        <is>
          <t>TRX0073</t>
        </is>
      </c>
      <c r="B74" s="4" t="n">
        <v>45500</v>
      </c>
      <c r="C74" t="inlineStr">
        <is>
          <t>CUST010</t>
        </is>
      </c>
      <c r="D74" t="inlineStr">
        <is>
          <t>Maria Garcia</t>
        </is>
      </c>
      <c r="E74" t="inlineStr">
        <is>
          <t>P003</t>
        </is>
      </c>
      <c r="F74" t="inlineStr">
        <is>
          <t>Headphones</t>
        </is>
      </c>
      <c r="G74" t="inlineStr">
        <is>
          <t>Electronics</t>
        </is>
      </c>
      <c r="H74" t="n">
        <v>2</v>
      </c>
      <c r="I74" s="5" t="n">
        <v>149.99</v>
      </c>
      <c r="J74" t="inlineStr">
        <is>
          <t>Credit Card</t>
        </is>
      </c>
      <c r="K74" t="inlineStr">
        <is>
          <t>South</t>
        </is>
      </c>
      <c r="L74" t="inlineStr">
        <is>
          <t>Basic</t>
        </is>
      </c>
      <c r="M74" s="4" t="n">
        <v>45046</v>
      </c>
      <c r="N74" s="5" t="n">
        <v>299.98</v>
      </c>
    </row>
    <row r="75">
      <c r="A75" t="inlineStr">
        <is>
          <t>TRX0074</t>
        </is>
      </c>
      <c r="B75" s="4" t="n">
        <v>45501</v>
      </c>
      <c r="C75" t="inlineStr">
        <is>
          <t>CUST028</t>
        </is>
      </c>
      <c r="D75" t="inlineStr">
        <is>
          <t>Betty Campbell</t>
        </is>
      </c>
      <c r="E75" t="inlineStr">
        <is>
          <t>P006</t>
        </is>
      </c>
      <c r="F75" t="inlineStr">
        <is>
          <t>Office Chair</t>
        </is>
      </c>
      <c r="G75" t="inlineStr">
        <is>
          <t>Furniture</t>
        </is>
      </c>
      <c r="H75" t="n">
        <v>5</v>
      </c>
      <c r="I75" s="5" t="n">
        <v>199.99</v>
      </c>
      <c r="J75" t="inlineStr">
        <is>
          <t>PayPal</t>
        </is>
      </c>
      <c r="K75" t="inlineStr">
        <is>
          <t>North</t>
        </is>
      </c>
      <c r="L75" t="inlineStr">
        <is>
          <t>Basic</t>
        </is>
      </c>
      <c r="M75" s="4" t="n">
        <v>45057</v>
      </c>
      <c r="N75" s="5" t="n">
        <v>999.95</v>
      </c>
    </row>
    <row r="76">
      <c r="A76" t="inlineStr">
        <is>
          <t>TRX0075</t>
        </is>
      </c>
      <c r="B76" s="4" t="n">
        <v>45504</v>
      </c>
      <c r="C76" t="inlineStr">
        <is>
          <t>CUST026</t>
        </is>
      </c>
      <c r="D76" t="inlineStr">
        <is>
          <t>Karen Hill</t>
        </is>
      </c>
      <c r="E76" t="inlineStr">
        <is>
          <t>P010</t>
        </is>
      </c>
      <c r="F76" t="inlineStr">
        <is>
          <t>Keyboard</t>
        </is>
      </c>
      <c r="G76" t="inlineStr">
        <is>
          <t>Electronics</t>
        </is>
      </c>
      <c r="H76" t="n">
        <v>1</v>
      </c>
      <c r="I76" s="5" t="n">
        <v>89.98999999999999</v>
      </c>
      <c r="J76" t="inlineStr">
        <is>
          <t>PayPal</t>
        </is>
      </c>
      <c r="K76" t="inlineStr">
        <is>
          <t>West</t>
        </is>
      </c>
      <c r="L76" t="inlineStr">
        <is>
          <t>Basic</t>
        </is>
      </c>
      <c r="M76" s="4" t="n">
        <v>44917</v>
      </c>
      <c r="N76" s="5" t="n">
        <v>89.98999999999999</v>
      </c>
    </row>
    <row r="77">
      <c r="A77" t="inlineStr">
        <is>
          <t>TRX0076</t>
        </is>
      </c>
      <c r="B77" s="4" t="n">
        <v>45505</v>
      </c>
      <c r="C77" t="inlineStr">
        <is>
          <t>CUST021</t>
        </is>
      </c>
      <c r="D77" t="inlineStr">
        <is>
          <t>Kevin Scott</t>
        </is>
      </c>
      <c r="E77" t="inlineStr">
        <is>
          <t>P007</t>
        </is>
      </c>
      <c r="F77" t="inlineStr">
        <is>
          <t>Desk</t>
        </is>
      </c>
      <c r="G77" t="inlineStr">
        <is>
          <t>Furniture</t>
        </is>
      </c>
      <c r="H77" t="n">
        <v>4</v>
      </c>
      <c r="I77" s="5" t="n">
        <v>299.99</v>
      </c>
      <c r="J77" t="inlineStr">
        <is>
          <t>Credit Card</t>
        </is>
      </c>
      <c r="K77" t="inlineStr">
        <is>
          <t>West</t>
        </is>
      </c>
      <c r="L77" t="inlineStr">
        <is>
          <t>Basic</t>
        </is>
      </c>
      <c r="M77" s="4" t="n">
        <v>44755</v>
      </c>
      <c r="N77" s="5" t="n">
        <v>1199.96</v>
      </c>
    </row>
    <row r="78">
      <c r="A78" t="inlineStr">
        <is>
          <t>TRX0077</t>
        </is>
      </c>
      <c r="B78" s="4" t="n">
        <v>45506</v>
      </c>
      <c r="C78" t="inlineStr">
        <is>
          <t>CUST029</t>
        </is>
      </c>
      <c r="D78" t="inlineStr">
        <is>
          <t>Edward Mitchell</t>
        </is>
      </c>
      <c r="E78" t="inlineStr">
        <is>
          <t>P008</t>
        </is>
      </c>
      <c r="F78" t="inlineStr">
        <is>
          <t>Bookshelf</t>
        </is>
      </c>
      <c r="G78" t="inlineStr">
        <is>
          <t>Furniture</t>
        </is>
      </c>
      <c r="H78" t="n">
        <v>1</v>
      </c>
      <c r="I78" s="5" t="n">
        <v>149.99</v>
      </c>
      <c r="J78" t="inlineStr">
        <is>
          <t>Debit Card</t>
        </is>
      </c>
      <c r="K78" t="inlineStr">
        <is>
          <t>West</t>
        </is>
      </c>
      <c r="L78" t="inlineStr">
        <is>
          <t>Premium</t>
        </is>
      </c>
      <c r="M78" s="4" t="n">
        <v>44535</v>
      </c>
      <c r="N78" s="5" t="n">
        <v>149.99</v>
      </c>
    </row>
    <row r="79">
      <c r="A79" t="inlineStr">
        <is>
          <t>TRX0078</t>
        </is>
      </c>
      <c r="B79" s="4" t="n">
        <v>45508</v>
      </c>
      <c r="C79" t="inlineStr">
        <is>
          <t>CUST031</t>
        </is>
      </c>
      <c r="D79" t="inlineStr">
        <is>
          <t>Steven Turner</t>
        </is>
      </c>
      <c r="E79" t="inlineStr">
        <is>
          <t>P003</t>
        </is>
      </c>
      <c r="F79" t="inlineStr">
        <is>
          <t>Headphones</t>
        </is>
      </c>
      <c r="G79" t="inlineStr">
        <is>
          <t>Electronics</t>
        </is>
      </c>
      <c r="H79" t="n">
        <v>5</v>
      </c>
      <c r="I79" s="5" t="n">
        <v>149.99</v>
      </c>
      <c r="J79" t="inlineStr">
        <is>
          <t>Cash</t>
        </is>
      </c>
      <c r="K79" t="inlineStr">
        <is>
          <t>West</t>
        </is>
      </c>
      <c r="L79" t="inlineStr">
        <is>
          <t>Premium</t>
        </is>
      </c>
      <c r="M79" s="4" t="n">
        <v>45352</v>
      </c>
      <c r="N79" s="5" t="n">
        <v>749.95</v>
      </c>
    </row>
    <row r="80">
      <c r="A80" t="inlineStr">
        <is>
          <t>TRX0079</t>
        </is>
      </c>
      <c r="B80" s="4" t="n">
        <v>45509</v>
      </c>
      <c r="C80" t="inlineStr">
        <is>
          <t>CUST046</t>
        </is>
      </c>
      <c r="D80" t="inlineStr">
        <is>
          <t>Kathleen Bennett</t>
        </is>
      </c>
      <c r="E80" t="inlineStr">
        <is>
          <t>P001</t>
        </is>
      </c>
      <c r="F80" t="inlineStr">
        <is>
          <t>Laptop</t>
        </is>
      </c>
      <c r="G80" t="inlineStr">
        <is>
          <t>Electronics</t>
        </is>
      </c>
      <c r="H80" t="n">
        <v>1</v>
      </c>
      <c r="I80" s="5" t="n">
        <v>899.99</v>
      </c>
      <c r="J80" t="inlineStr">
        <is>
          <t>Credit Card</t>
        </is>
      </c>
      <c r="K80" t="inlineStr">
        <is>
          <t>West</t>
        </is>
      </c>
      <c r="L80" t="inlineStr">
        <is>
          <t>Basic</t>
        </is>
      </c>
      <c r="M80" s="4" t="n">
        <v>44299</v>
      </c>
      <c r="N80" s="5" t="n">
        <v>899.99</v>
      </c>
    </row>
    <row r="81">
      <c r="A81" t="inlineStr">
        <is>
          <t>TRX0080</t>
        </is>
      </c>
      <c r="B81" s="4" t="n">
        <v>45508</v>
      </c>
      <c r="C81" t="inlineStr">
        <is>
          <t>CUST018</t>
        </is>
      </c>
      <c r="D81" t="inlineStr">
        <is>
          <t>Barbara Young</t>
        </is>
      </c>
      <c r="E81" t="inlineStr">
        <is>
          <t>P007</t>
        </is>
      </c>
      <c r="F81" t="inlineStr">
        <is>
          <t>Desk</t>
        </is>
      </c>
      <c r="G81" t="inlineStr">
        <is>
          <t>Furniture</t>
        </is>
      </c>
      <c r="H81" t="n">
        <v>3</v>
      </c>
      <c r="I81" s="5" t="n">
        <v>299.99</v>
      </c>
      <c r="J81" t="inlineStr">
        <is>
          <t>PayPal</t>
        </is>
      </c>
      <c r="K81" t="inlineStr">
        <is>
          <t>East</t>
        </is>
      </c>
      <c r="L81" t="inlineStr">
        <is>
          <t>Standard</t>
        </is>
      </c>
      <c r="M81" s="4" t="n">
        <v>44973</v>
      </c>
      <c r="N81" s="5" t="n">
        <v>899.97</v>
      </c>
    </row>
    <row r="82">
      <c r="A82" t="inlineStr">
        <is>
          <t>TRX0081</t>
        </is>
      </c>
      <c r="B82" s="4" t="n">
        <v>45509</v>
      </c>
      <c r="C82" t="inlineStr">
        <is>
          <t>CUST019</t>
        </is>
      </c>
      <c r="D82" t="inlineStr">
        <is>
          <t>Daniel King</t>
        </is>
      </c>
      <c r="E82" t="inlineStr">
        <is>
          <t>P007</t>
        </is>
      </c>
      <c r="F82" t="inlineStr">
        <is>
          <t>Desk</t>
        </is>
      </c>
      <c r="G82" t="inlineStr">
        <is>
          <t>Furniture</t>
        </is>
      </c>
      <c r="H82" t="n">
        <v>3</v>
      </c>
      <c r="I82" s="5" t="n">
        <v>299.99</v>
      </c>
      <c r="J82" t="inlineStr">
        <is>
          <t>PayPal</t>
        </is>
      </c>
      <c r="K82" t="inlineStr">
        <is>
          <t>North</t>
        </is>
      </c>
      <c r="L82" t="inlineStr">
        <is>
          <t>Premium</t>
        </is>
      </c>
      <c r="M82" s="4" t="n">
        <v>45301</v>
      </c>
      <c r="N82" s="5" t="n">
        <v>899.97</v>
      </c>
    </row>
    <row r="83">
      <c r="A83" t="inlineStr">
        <is>
          <t>TRX0082</t>
        </is>
      </c>
      <c r="B83" s="4" t="n">
        <v>45510</v>
      </c>
      <c r="C83" t="inlineStr">
        <is>
          <t>CUST004</t>
        </is>
      </c>
      <c r="D83" t="inlineStr">
        <is>
          <t>Sarah Davis</t>
        </is>
      </c>
      <c r="E83" t="inlineStr">
        <is>
          <t>P006</t>
        </is>
      </c>
      <c r="F83" t="inlineStr">
        <is>
          <t>Office Chair</t>
        </is>
      </c>
      <c r="G83" t="inlineStr">
        <is>
          <t>Furniture</t>
        </is>
      </c>
      <c r="H83" t="n">
        <v>2</v>
      </c>
      <c r="I83" s="5" t="n">
        <v>199.99</v>
      </c>
      <c r="J83" t="inlineStr">
        <is>
          <t>Cash</t>
        </is>
      </c>
      <c r="K83" t="inlineStr">
        <is>
          <t>North</t>
        </is>
      </c>
      <c r="L83" t="inlineStr">
        <is>
          <t>Basic</t>
        </is>
      </c>
      <c r="M83" s="4" t="n">
        <v>44605</v>
      </c>
      <c r="N83" s="5" t="n">
        <v>399.98</v>
      </c>
    </row>
    <row r="84">
      <c r="A84" t="inlineStr">
        <is>
          <t>TRX0083</t>
        </is>
      </c>
      <c r="B84" s="4" t="n">
        <v>45512</v>
      </c>
      <c r="C84" t="inlineStr">
        <is>
          <t>CUST002</t>
        </is>
      </c>
      <c r="D84" t="inlineStr">
        <is>
          <t>Emma Wilson</t>
        </is>
      </c>
      <c r="E84" t="inlineStr">
        <is>
          <t>P010</t>
        </is>
      </c>
      <c r="F84" t="inlineStr">
        <is>
          <t>Keyboard</t>
        </is>
      </c>
      <c r="G84" t="inlineStr">
        <is>
          <t>Electronics</t>
        </is>
      </c>
      <c r="H84" t="n">
        <v>2</v>
      </c>
      <c r="I84" s="5" t="n">
        <v>89.98999999999999</v>
      </c>
      <c r="J84" t="inlineStr">
        <is>
          <t>Credit Card</t>
        </is>
      </c>
      <c r="K84" t="inlineStr">
        <is>
          <t>West</t>
        </is>
      </c>
      <c r="L84" t="inlineStr">
        <is>
          <t>Premium</t>
        </is>
      </c>
      <c r="M84" s="4" t="n">
        <v>44431</v>
      </c>
      <c r="N84" s="5" t="n">
        <v>179.98</v>
      </c>
    </row>
    <row r="85">
      <c r="A85" t="inlineStr">
        <is>
          <t>TRX0084</t>
        </is>
      </c>
      <c r="B85" s="4" t="n">
        <v>45515</v>
      </c>
      <c r="C85" t="inlineStr">
        <is>
          <t>CUST039</t>
        </is>
      </c>
      <c r="D85" t="inlineStr">
        <is>
          <t>Lawrence Reed</t>
        </is>
      </c>
      <c r="E85" t="inlineStr">
        <is>
          <t>P004</t>
        </is>
      </c>
      <c r="F85" t="inlineStr">
        <is>
          <t>Coffee Maker</t>
        </is>
      </c>
      <c r="G85" t="inlineStr">
        <is>
          <t>Appliances</t>
        </is>
      </c>
      <c r="H85" t="n">
        <v>4</v>
      </c>
      <c r="I85" s="5" t="n">
        <v>79.98999999999999</v>
      </c>
      <c r="J85" t="inlineStr">
        <is>
          <t>Debit Card</t>
        </is>
      </c>
      <c r="K85" t="inlineStr">
        <is>
          <t>South</t>
        </is>
      </c>
      <c r="L85" t="inlineStr">
        <is>
          <t>Premium</t>
        </is>
      </c>
      <c r="M85" s="4" t="n">
        <v>44431</v>
      </c>
      <c r="N85" s="5" t="n">
        <v>319.96</v>
      </c>
    </row>
    <row r="86">
      <c r="A86" t="inlineStr">
        <is>
          <t>TRX0085</t>
        </is>
      </c>
      <c r="B86" s="4" t="n">
        <v>45518</v>
      </c>
      <c r="C86" t="inlineStr">
        <is>
          <t>CUST012</t>
        </is>
      </c>
      <c r="D86" t="inlineStr">
        <is>
          <t>Patricia Moore</t>
        </is>
      </c>
      <c r="E86" t="inlineStr">
        <is>
          <t>P005</t>
        </is>
      </c>
      <c r="F86" t="inlineStr">
        <is>
          <t>Blender</t>
        </is>
      </c>
      <c r="G86" t="inlineStr">
        <is>
          <t>Appliances</t>
        </is>
      </c>
      <c r="H86" t="n">
        <v>1</v>
      </c>
      <c r="I86" s="5" t="n">
        <v>59.99</v>
      </c>
      <c r="J86" t="inlineStr">
        <is>
          <t>Cash</t>
        </is>
      </c>
      <c r="K86" t="inlineStr">
        <is>
          <t>East</t>
        </is>
      </c>
      <c r="L86" t="inlineStr">
        <is>
          <t>Premium</t>
        </is>
      </c>
      <c r="M86" s="4" t="n">
        <v>44965</v>
      </c>
      <c r="N86" s="5" t="n">
        <v>59.99</v>
      </c>
    </row>
    <row r="87">
      <c r="A87" t="inlineStr">
        <is>
          <t>TRX0086</t>
        </is>
      </c>
      <c r="B87" s="4" t="n">
        <v>45520</v>
      </c>
      <c r="C87" t="inlineStr">
        <is>
          <t>CUST027</t>
        </is>
      </c>
      <c r="D87" t="inlineStr">
        <is>
          <t>George Adams</t>
        </is>
      </c>
      <c r="E87" t="inlineStr">
        <is>
          <t>P004</t>
        </is>
      </c>
      <c r="F87" t="inlineStr">
        <is>
          <t>Coffee Maker</t>
        </is>
      </c>
      <c r="G87" t="inlineStr">
        <is>
          <t>Appliances</t>
        </is>
      </c>
      <c r="H87" t="n">
        <v>1</v>
      </c>
      <c r="I87" s="5" t="n">
        <v>79.98999999999999</v>
      </c>
      <c r="J87" t="inlineStr">
        <is>
          <t>Credit Card</t>
        </is>
      </c>
      <c r="K87" t="inlineStr">
        <is>
          <t>North</t>
        </is>
      </c>
      <c r="L87" t="inlineStr">
        <is>
          <t>Premium</t>
        </is>
      </c>
      <c r="M87" s="4" t="n">
        <v>44814</v>
      </c>
      <c r="N87" s="5" t="n">
        <v>79.98999999999999</v>
      </c>
    </row>
    <row r="88">
      <c r="A88" t="inlineStr">
        <is>
          <t>TRX0087</t>
        </is>
      </c>
      <c r="B88" s="4" t="n">
        <v>45521</v>
      </c>
      <c r="C88" t="inlineStr">
        <is>
          <t>CUST047</t>
        </is>
      </c>
      <c r="D88" t="inlineStr">
        <is>
          <t>Gerald Murphy</t>
        </is>
      </c>
      <c r="E88" t="inlineStr">
        <is>
          <t>P010</t>
        </is>
      </c>
      <c r="F88" t="inlineStr">
        <is>
          <t>Keyboard</t>
        </is>
      </c>
      <c r="G88" t="inlineStr">
        <is>
          <t>Electronics</t>
        </is>
      </c>
      <c r="H88" t="n">
        <v>1</v>
      </c>
      <c r="I88" s="5" t="n">
        <v>89.98999999999999</v>
      </c>
      <c r="J88" t="inlineStr">
        <is>
          <t>Cash</t>
        </is>
      </c>
      <c r="K88" t="inlineStr">
        <is>
          <t>East</t>
        </is>
      </c>
      <c r="L88" t="inlineStr">
        <is>
          <t>Premium</t>
        </is>
      </c>
      <c r="M88" s="4" t="n">
        <v>45074</v>
      </c>
      <c r="N88" s="5" t="n">
        <v>89.98999999999999</v>
      </c>
    </row>
    <row r="89">
      <c r="A89" t="inlineStr">
        <is>
          <t>TRX0088</t>
        </is>
      </c>
      <c r="B89" s="4" t="n">
        <v>45523</v>
      </c>
      <c r="C89" t="inlineStr">
        <is>
          <t>CUST046</t>
        </is>
      </c>
      <c r="D89" t="inlineStr">
        <is>
          <t>Kathleen Bennett</t>
        </is>
      </c>
      <c r="E89" t="inlineStr">
        <is>
          <t>P006</t>
        </is>
      </c>
      <c r="F89" t="inlineStr">
        <is>
          <t>Office Chair</t>
        </is>
      </c>
      <c r="G89" t="inlineStr">
        <is>
          <t>Furniture</t>
        </is>
      </c>
      <c r="H89" t="n">
        <v>1</v>
      </c>
      <c r="I89" s="5" t="n">
        <v>199.99</v>
      </c>
      <c r="J89" t="inlineStr">
        <is>
          <t>Debit Card</t>
        </is>
      </c>
      <c r="K89" t="inlineStr">
        <is>
          <t>North</t>
        </is>
      </c>
      <c r="L89" t="inlineStr">
        <is>
          <t>Standard</t>
        </is>
      </c>
      <c r="M89" s="4" t="n">
        <v>45200</v>
      </c>
      <c r="N89" s="5" t="n">
        <v>199.99</v>
      </c>
    </row>
    <row r="90">
      <c r="A90" t="inlineStr">
        <is>
          <t>TRX0089</t>
        </is>
      </c>
      <c r="B90" s="4" t="n">
        <v>45523</v>
      </c>
      <c r="C90" t="inlineStr">
        <is>
          <t>CUST008</t>
        </is>
      </c>
      <c r="D90" t="inlineStr">
        <is>
          <t>Jennifer Taylor</t>
        </is>
      </c>
      <c r="E90" t="inlineStr">
        <is>
          <t>P007</t>
        </is>
      </c>
      <c r="F90" t="inlineStr">
        <is>
          <t>Desk</t>
        </is>
      </c>
      <c r="G90" t="inlineStr">
        <is>
          <t>Furniture</t>
        </is>
      </c>
      <c r="H90" t="n">
        <v>3</v>
      </c>
      <c r="I90" s="5" t="n">
        <v>299.99</v>
      </c>
      <c r="J90" t="inlineStr">
        <is>
          <t>Credit Card</t>
        </is>
      </c>
      <c r="K90" t="inlineStr">
        <is>
          <t>West</t>
        </is>
      </c>
      <c r="L90" t="inlineStr">
        <is>
          <t>Basic</t>
        </is>
      </c>
      <c r="M90" s="4" t="n">
        <v>45265</v>
      </c>
      <c r="N90" s="5" t="n">
        <v>899.97</v>
      </c>
    </row>
    <row r="91">
      <c r="A91" t="inlineStr">
        <is>
          <t>TRX0090</t>
        </is>
      </c>
      <c r="B91" s="4" t="n">
        <v>45526</v>
      </c>
      <c r="C91" t="inlineStr">
        <is>
          <t>CUST045</t>
        </is>
      </c>
      <c r="D91" t="inlineStr">
        <is>
          <t>Douglas Watson</t>
        </is>
      </c>
      <c r="E91" t="inlineStr">
        <is>
          <t>P005</t>
        </is>
      </c>
      <c r="F91" t="inlineStr">
        <is>
          <t>Blender</t>
        </is>
      </c>
      <c r="G91" t="inlineStr">
        <is>
          <t>Appliances</t>
        </is>
      </c>
      <c r="H91" t="n">
        <v>5</v>
      </c>
      <c r="I91" s="5" t="n">
        <v>59.99</v>
      </c>
      <c r="J91" t="inlineStr">
        <is>
          <t>PayPal</t>
        </is>
      </c>
      <c r="K91" t="inlineStr">
        <is>
          <t>West</t>
        </is>
      </c>
      <c r="L91" t="inlineStr">
        <is>
          <t>Standard</t>
        </is>
      </c>
      <c r="M91" s="4" t="n">
        <v>44746</v>
      </c>
      <c r="N91" s="5" t="n">
        <v>299.95</v>
      </c>
    </row>
    <row r="92">
      <c r="A92" t="inlineStr">
        <is>
          <t>TRX0091</t>
        </is>
      </c>
      <c r="B92" s="4" t="n">
        <v>45525</v>
      </c>
      <c r="C92" t="inlineStr">
        <is>
          <t>CUST022</t>
        </is>
      </c>
      <c r="D92" t="inlineStr">
        <is>
          <t>Susan Green</t>
        </is>
      </c>
      <c r="E92" t="inlineStr">
        <is>
          <t>P004</t>
        </is>
      </c>
      <c r="F92" t="inlineStr">
        <is>
          <t>Coffee Maker</t>
        </is>
      </c>
      <c r="G92" t="inlineStr">
        <is>
          <t>Appliances</t>
        </is>
      </c>
      <c r="H92" t="n">
        <v>1</v>
      </c>
      <c r="I92" s="5" t="n">
        <v>79.98999999999999</v>
      </c>
      <c r="J92" t="inlineStr">
        <is>
          <t>PayPal</t>
        </is>
      </c>
      <c r="K92" t="inlineStr">
        <is>
          <t>South</t>
        </is>
      </c>
      <c r="L92" t="inlineStr">
        <is>
          <t>Standard</t>
        </is>
      </c>
      <c r="M92" s="4" t="n">
        <v>45364</v>
      </c>
      <c r="N92" s="5" t="n">
        <v>79.98999999999999</v>
      </c>
    </row>
    <row r="93">
      <c r="A93" t="inlineStr">
        <is>
          <t>TRX0092</t>
        </is>
      </c>
      <c r="B93" s="4" t="n">
        <v>45524</v>
      </c>
      <c r="C93" t="inlineStr">
        <is>
          <t>CUST043</t>
        </is>
      </c>
      <c r="D93" t="inlineStr">
        <is>
          <t>Dennis Gray</t>
        </is>
      </c>
      <c r="E93" t="inlineStr">
        <is>
          <t>P007</t>
        </is>
      </c>
      <c r="F93" t="inlineStr">
        <is>
          <t>Desk</t>
        </is>
      </c>
      <c r="G93" t="inlineStr">
        <is>
          <t>Furniture</t>
        </is>
      </c>
      <c r="H93" t="n">
        <v>3</v>
      </c>
      <c r="I93" s="5" t="n">
        <v>299.99</v>
      </c>
      <c r="J93" t="inlineStr">
        <is>
          <t>PayPal</t>
        </is>
      </c>
      <c r="K93" t="inlineStr">
        <is>
          <t>East</t>
        </is>
      </c>
      <c r="L93" t="inlineStr">
        <is>
          <t>Basic</t>
        </is>
      </c>
      <c r="M93" s="4" t="n">
        <v>45195</v>
      </c>
      <c r="N93" s="5" t="n">
        <v>899.97</v>
      </c>
    </row>
    <row r="94">
      <c r="A94" t="inlineStr">
        <is>
          <t>TRX0093</t>
        </is>
      </c>
      <c r="B94" s="4" t="n">
        <v>45528</v>
      </c>
      <c r="C94" t="inlineStr">
        <is>
          <t>CUST015</t>
        </is>
      </c>
      <c r="D94" t="inlineStr">
        <is>
          <t>Richard Lee</t>
        </is>
      </c>
      <c r="E94" t="inlineStr">
        <is>
          <t>P006</t>
        </is>
      </c>
      <c r="F94" t="inlineStr">
        <is>
          <t>Office Chair</t>
        </is>
      </c>
      <c r="G94" t="inlineStr">
        <is>
          <t>Furniture</t>
        </is>
      </c>
      <c r="H94" t="n">
        <v>3</v>
      </c>
      <c r="I94" s="5" t="n">
        <v>199.99</v>
      </c>
      <c r="J94" t="inlineStr">
        <is>
          <t>Debit Card</t>
        </is>
      </c>
      <c r="K94" t="inlineStr">
        <is>
          <t>Central</t>
        </is>
      </c>
      <c r="L94" t="inlineStr">
        <is>
          <t>Premium</t>
        </is>
      </c>
      <c r="M94" s="4" t="n">
        <v>44762</v>
      </c>
      <c r="N94" s="5" t="n">
        <v>599.97</v>
      </c>
    </row>
    <row r="95">
      <c r="A95" t="inlineStr">
        <is>
          <t>TRX0094</t>
        </is>
      </c>
      <c r="B95" s="4" t="n">
        <v>45528</v>
      </c>
      <c r="C95" t="inlineStr">
        <is>
          <t>CUST038</t>
        </is>
      </c>
      <c r="D95" t="inlineStr">
        <is>
          <t>Michelle Rogers</t>
        </is>
      </c>
      <c r="E95" t="inlineStr">
        <is>
          <t>P001</t>
        </is>
      </c>
      <c r="F95" t="inlineStr">
        <is>
          <t>Laptop</t>
        </is>
      </c>
      <c r="G95" t="inlineStr">
        <is>
          <t>Electronics</t>
        </is>
      </c>
      <c r="H95" t="n">
        <v>5</v>
      </c>
      <c r="I95" s="5" t="n">
        <v>899.99</v>
      </c>
      <c r="J95" t="inlineStr">
        <is>
          <t>Cash</t>
        </is>
      </c>
      <c r="K95" t="inlineStr">
        <is>
          <t>South</t>
        </is>
      </c>
      <c r="L95" t="inlineStr">
        <is>
          <t>Premium</t>
        </is>
      </c>
      <c r="M95" s="4" t="n">
        <v>45029</v>
      </c>
      <c r="N95" s="5" t="n">
        <v>4499.95</v>
      </c>
    </row>
    <row r="96">
      <c r="A96" t="inlineStr">
        <is>
          <t>TRX0095</t>
        </is>
      </c>
      <c r="B96" s="4" t="n">
        <v>45532</v>
      </c>
      <c r="C96" t="inlineStr">
        <is>
          <t>CUST033</t>
        </is>
      </c>
      <c r="D96" t="inlineStr">
        <is>
          <t>Frank Torres</t>
        </is>
      </c>
      <c r="E96" t="inlineStr">
        <is>
          <t>P009</t>
        </is>
      </c>
      <c r="F96" t="inlineStr">
        <is>
          <t>Monitor</t>
        </is>
      </c>
      <c r="G96" t="inlineStr">
        <is>
          <t>Electronics</t>
        </is>
      </c>
      <c r="H96" t="n">
        <v>2</v>
      </c>
      <c r="I96" s="5" t="n">
        <v>249.99</v>
      </c>
      <c r="J96" t="inlineStr">
        <is>
          <t>PayPal</t>
        </is>
      </c>
      <c r="K96" t="inlineStr">
        <is>
          <t>West</t>
        </is>
      </c>
      <c r="L96" t="inlineStr">
        <is>
          <t>Basic</t>
        </is>
      </c>
      <c r="M96" s="4" t="n">
        <v>44387</v>
      </c>
      <c r="N96" s="5" t="n">
        <v>499.98</v>
      </c>
    </row>
    <row r="97">
      <c r="A97" t="inlineStr">
        <is>
          <t>TRX0096</t>
        </is>
      </c>
      <c r="B97" s="4" t="n">
        <v>45531</v>
      </c>
      <c r="C97" t="inlineStr">
        <is>
          <t>CUST020</t>
        </is>
      </c>
      <c r="D97" t="inlineStr">
        <is>
          <t>Margaret Wright</t>
        </is>
      </c>
      <c r="E97" t="inlineStr">
        <is>
          <t>P004</t>
        </is>
      </c>
      <c r="F97" t="inlineStr">
        <is>
          <t>Coffee Maker</t>
        </is>
      </c>
      <c r="G97" t="inlineStr">
        <is>
          <t>Appliances</t>
        </is>
      </c>
      <c r="H97" t="n">
        <v>4</v>
      </c>
      <c r="I97" s="5" t="n">
        <v>79.98999999999999</v>
      </c>
      <c r="J97" t="inlineStr">
        <is>
          <t>Debit Card</t>
        </is>
      </c>
      <c r="K97" t="inlineStr">
        <is>
          <t>Central</t>
        </is>
      </c>
      <c r="L97" t="inlineStr">
        <is>
          <t>Standard</t>
        </is>
      </c>
      <c r="M97" s="4" t="n">
        <v>45166</v>
      </c>
      <c r="N97" s="5" t="n">
        <v>319.96</v>
      </c>
    </row>
    <row r="98">
      <c r="A98" t="inlineStr">
        <is>
          <t>TRX0097</t>
        </is>
      </c>
      <c r="B98" s="4" t="n">
        <v>45535</v>
      </c>
      <c r="C98" t="inlineStr">
        <is>
          <t>CUST038</t>
        </is>
      </c>
      <c r="D98" t="inlineStr">
        <is>
          <t>Michelle Rogers</t>
        </is>
      </c>
      <c r="E98" t="inlineStr">
        <is>
          <t>P009</t>
        </is>
      </c>
      <c r="F98" t="inlineStr">
        <is>
          <t>Monitor</t>
        </is>
      </c>
      <c r="G98" t="inlineStr">
        <is>
          <t>Electronics</t>
        </is>
      </c>
      <c r="H98" t="n">
        <v>3</v>
      </c>
      <c r="I98" s="5" t="n">
        <v>249.99</v>
      </c>
      <c r="J98" t="inlineStr">
        <is>
          <t>Debit Card</t>
        </is>
      </c>
      <c r="K98" t="inlineStr">
        <is>
          <t>East</t>
        </is>
      </c>
      <c r="L98" t="inlineStr">
        <is>
          <t>Premium</t>
        </is>
      </c>
      <c r="M98" s="4" t="n">
        <v>45126</v>
      </c>
      <c r="N98" s="5" t="n">
        <v>749.97</v>
      </c>
    </row>
    <row r="99">
      <c r="A99" t="inlineStr">
        <is>
          <t>TRX0098</t>
        </is>
      </c>
      <c r="B99" s="4" t="n">
        <v>45534</v>
      </c>
      <c r="C99" t="inlineStr">
        <is>
          <t>CUST019</t>
        </is>
      </c>
      <c r="D99" t="inlineStr">
        <is>
          <t>Daniel King</t>
        </is>
      </c>
      <c r="E99" t="inlineStr">
        <is>
          <t>P005</t>
        </is>
      </c>
      <c r="F99" t="inlineStr">
        <is>
          <t>Blender</t>
        </is>
      </c>
      <c r="G99" t="inlineStr">
        <is>
          <t>Appliances</t>
        </is>
      </c>
      <c r="H99" t="n">
        <v>3</v>
      </c>
      <c r="I99" s="5" t="n">
        <v>59.99</v>
      </c>
      <c r="J99" t="inlineStr">
        <is>
          <t>Cash</t>
        </is>
      </c>
      <c r="K99" t="inlineStr">
        <is>
          <t>South</t>
        </is>
      </c>
      <c r="L99" t="inlineStr">
        <is>
          <t>Standard</t>
        </is>
      </c>
      <c r="M99" s="4" t="n">
        <v>44441</v>
      </c>
      <c r="N99" s="5" t="n">
        <v>179.97</v>
      </c>
    </row>
    <row r="100">
      <c r="A100" t="inlineStr">
        <is>
          <t>TRX0099</t>
        </is>
      </c>
      <c r="B100" s="4" t="n">
        <v>45536</v>
      </c>
      <c r="C100" t="inlineStr">
        <is>
          <t>CUST036</t>
        </is>
      </c>
      <c r="D100" t="inlineStr">
        <is>
          <t>Nancy Collins</t>
        </is>
      </c>
      <c r="E100" t="inlineStr">
        <is>
          <t>P003</t>
        </is>
      </c>
      <c r="F100" t="inlineStr">
        <is>
          <t>Headphones</t>
        </is>
      </c>
      <c r="G100" t="inlineStr">
        <is>
          <t>Electronics</t>
        </is>
      </c>
      <c r="H100" t="n">
        <v>2</v>
      </c>
      <c r="I100" s="5" t="n">
        <v>149.99</v>
      </c>
      <c r="J100" t="inlineStr">
        <is>
          <t>PayPal</t>
        </is>
      </c>
      <c r="K100" t="inlineStr">
        <is>
          <t>East</t>
        </is>
      </c>
      <c r="L100" t="inlineStr">
        <is>
          <t>Premium</t>
        </is>
      </c>
      <c r="M100" s="4" t="n">
        <v>45271</v>
      </c>
      <c r="N100" s="5" t="n">
        <v>299.98</v>
      </c>
    </row>
    <row r="101">
      <c r="A101" t="inlineStr">
        <is>
          <t>TRX0100</t>
        </is>
      </c>
      <c r="B101" s="4" t="n">
        <v>45537</v>
      </c>
      <c r="C101" t="inlineStr">
        <is>
          <t>CUST041</t>
        </is>
      </c>
      <c r="D101" t="inlineStr">
        <is>
          <t>Peter Richardson</t>
        </is>
      </c>
      <c r="E101" t="inlineStr">
        <is>
          <t>P005</t>
        </is>
      </c>
      <c r="F101" t="inlineStr">
        <is>
          <t>Blender</t>
        </is>
      </c>
      <c r="G101" t="inlineStr">
        <is>
          <t>Appliances</t>
        </is>
      </c>
      <c r="H101" t="n">
        <v>1</v>
      </c>
      <c r="I101" s="5" t="n">
        <v>59.99</v>
      </c>
      <c r="J101" t="inlineStr">
        <is>
          <t>Debit Card</t>
        </is>
      </c>
      <c r="K101" t="inlineStr">
        <is>
          <t>South</t>
        </is>
      </c>
      <c r="L101" t="inlineStr">
        <is>
          <t>Standard</t>
        </is>
      </c>
      <c r="M101" s="4" t="n">
        <v>44564</v>
      </c>
      <c r="N101" s="5" t="n">
        <v>59.99</v>
      </c>
    </row>
    <row r="102">
      <c r="A102" t="inlineStr">
        <is>
          <t>TRX0101</t>
        </is>
      </c>
      <c r="B102" s="4" t="n">
        <v>45539</v>
      </c>
      <c r="C102" t="inlineStr">
        <is>
          <t>CUST021</t>
        </is>
      </c>
      <c r="D102" t="inlineStr">
        <is>
          <t>Kevin Scott</t>
        </is>
      </c>
      <c r="E102" t="inlineStr">
        <is>
          <t>P001</t>
        </is>
      </c>
      <c r="F102" t="inlineStr">
        <is>
          <t>Laptop</t>
        </is>
      </c>
      <c r="G102" t="inlineStr">
        <is>
          <t>Electronics</t>
        </is>
      </c>
      <c r="H102" t="n">
        <v>5</v>
      </c>
      <c r="I102" s="5" t="n">
        <v>899.99</v>
      </c>
      <c r="J102" t="inlineStr">
        <is>
          <t>Debit Card</t>
        </is>
      </c>
      <c r="K102" t="inlineStr">
        <is>
          <t>North</t>
        </is>
      </c>
      <c r="L102" t="inlineStr">
        <is>
          <t>Basic</t>
        </is>
      </c>
      <c r="M102" s="4" t="n">
        <v>45330</v>
      </c>
      <c r="N102" s="5" t="n">
        <v>4499.95</v>
      </c>
    </row>
    <row r="103">
      <c r="A103" t="inlineStr">
        <is>
          <t>TRX0102</t>
        </is>
      </c>
      <c r="B103" s="4" t="n">
        <v>45539</v>
      </c>
      <c r="C103" t="inlineStr">
        <is>
          <t>CUST020</t>
        </is>
      </c>
      <c r="D103" t="inlineStr">
        <is>
          <t>Margaret Wright</t>
        </is>
      </c>
      <c r="E103" t="inlineStr">
        <is>
          <t>P003</t>
        </is>
      </c>
      <c r="F103" t="inlineStr">
        <is>
          <t>Headphones</t>
        </is>
      </c>
      <c r="G103" t="inlineStr">
        <is>
          <t>Electronics</t>
        </is>
      </c>
      <c r="H103" t="n">
        <v>4</v>
      </c>
      <c r="I103" s="5" t="n">
        <v>149.99</v>
      </c>
      <c r="J103" t="inlineStr">
        <is>
          <t>Cash</t>
        </is>
      </c>
      <c r="K103" t="inlineStr">
        <is>
          <t>Central</t>
        </is>
      </c>
      <c r="L103" t="inlineStr">
        <is>
          <t>Standard</t>
        </is>
      </c>
      <c r="M103" s="4" t="n">
        <v>45158</v>
      </c>
      <c r="N103" s="5" t="n">
        <v>599.96</v>
      </c>
    </row>
    <row r="104">
      <c r="A104" t="inlineStr">
        <is>
          <t>TRX0103</t>
        </is>
      </c>
      <c r="B104" s="4" t="n">
        <v>45541</v>
      </c>
      <c r="C104" t="inlineStr">
        <is>
          <t>CUST032</t>
        </is>
      </c>
      <c r="D104" t="inlineStr">
        <is>
          <t>Sandra Phillips</t>
        </is>
      </c>
      <c r="E104" t="inlineStr">
        <is>
          <t>P008</t>
        </is>
      </c>
      <c r="F104" t="inlineStr">
        <is>
          <t>Bookshelf</t>
        </is>
      </c>
      <c r="G104" t="inlineStr">
        <is>
          <t>Furniture</t>
        </is>
      </c>
      <c r="H104" t="n">
        <v>3</v>
      </c>
      <c r="I104" s="5" t="n">
        <v>149.99</v>
      </c>
      <c r="J104" t="inlineStr">
        <is>
          <t>Cash</t>
        </is>
      </c>
      <c r="K104" t="inlineStr">
        <is>
          <t>East</t>
        </is>
      </c>
      <c r="L104" t="inlineStr">
        <is>
          <t>Standard</t>
        </is>
      </c>
      <c r="M104" s="4" t="n">
        <v>44430</v>
      </c>
      <c r="N104" s="5" t="n">
        <v>449.97</v>
      </c>
    </row>
    <row r="105">
      <c r="A105" t="inlineStr">
        <is>
          <t>TRX0104</t>
        </is>
      </c>
      <c r="B105" s="4" t="n">
        <v>45542</v>
      </c>
      <c r="C105" t="inlineStr">
        <is>
          <t>CUST006</t>
        </is>
      </c>
      <c r="D105" t="inlineStr">
        <is>
          <t>Lisa Anderson</t>
        </is>
      </c>
      <c r="E105" t="inlineStr">
        <is>
          <t>P007</t>
        </is>
      </c>
      <c r="F105" t="inlineStr">
        <is>
          <t>Desk</t>
        </is>
      </c>
      <c r="G105" t="inlineStr">
        <is>
          <t>Furniture</t>
        </is>
      </c>
      <c r="H105" t="n">
        <v>4</v>
      </c>
      <c r="I105" s="5" t="n">
        <v>299.99</v>
      </c>
      <c r="J105" t="inlineStr">
        <is>
          <t>Cash</t>
        </is>
      </c>
      <c r="K105" t="inlineStr">
        <is>
          <t>South</t>
        </is>
      </c>
      <c r="L105" t="inlineStr">
        <is>
          <t>Basic</t>
        </is>
      </c>
      <c r="M105" s="4" t="n">
        <v>45349</v>
      </c>
      <c r="N105" s="5" t="n">
        <v>1199.96</v>
      </c>
    </row>
    <row r="106">
      <c r="A106" t="inlineStr">
        <is>
          <t>TRX0105</t>
        </is>
      </c>
      <c r="B106" s="4" t="n">
        <v>45543</v>
      </c>
      <c r="C106" t="inlineStr">
        <is>
          <t>CUST021</t>
        </is>
      </c>
      <c r="D106" t="inlineStr">
        <is>
          <t>Kevin Scott</t>
        </is>
      </c>
      <c r="E106" t="inlineStr">
        <is>
          <t>P002</t>
        </is>
      </c>
      <c r="F106" t="inlineStr">
        <is>
          <t>Smartphone</t>
        </is>
      </c>
      <c r="G106" t="inlineStr">
        <is>
          <t>Electronics</t>
        </is>
      </c>
      <c r="H106" t="n">
        <v>2</v>
      </c>
      <c r="I106" s="5" t="n">
        <v>699.99</v>
      </c>
      <c r="J106" t="inlineStr">
        <is>
          <t>PayPal</t>
        </is>
      </c>
      <c r="K106" t="inlineStr">
        <is>
          <t>Central</t>
        </is>
      </c>
      <c r="L106" t="inlineStr">
        <is>
          <t>Premium</t>
        </is>
      </c>
      <c r="M106" s="4" t="n">
        <v>44659</v>
      </c>
      <c r="N106" s="5" t="n">
        <v>1399.98</v>
      </c>
    </row>
    <row r="107">
      <c r="A107" t="inlineStr">
        <is>
          <t>TRX0106</t>
        </is>
      </c>
      <c r="B107" s="4" t="n">
        <v>45548</v>
      </c>
      <c r="C107" t="inlineStr">
        <is>
          <t>CUST035</t>
        </is>
      </c>
      <c r="D107" t="inlineStr">
        <is>
          <t>Harry Morgan</t>
        </is>
      </c>
      <c r="E107" t="inlineStr">
        <is>
          <t>P007</t>
        </is>
      </c>
      <c r="F107" t="inlineStr">
        <is>
          <t>Desk</t>
        </is>
      </c>
      <c r="G107" t="inlineStr">
        <is>
          <t>Furniture</t>
        </is>
      </c>
      <c r="H107" t="n">
        <v>4</v>
      </c>
      <c r="I107" s="5" t="n">
        <v>299.99</v>
      </c>
      <c r="J107" t="inlineStr">
        <is>
          <t>Debit Card</t>
        </is>
      </c>
      <c r="K107" t="inlineStr">
        <is>
          <t>Central</t>
        </is>
      </c>
      <c r="L107" t="inlineStr">
        <is>
          <t>Standard</t>
        </is>
      </c>
      <c r="M107" s="4" t="n">
        <v>44822</v>
      </c>
      <c r="N107" s="5" t="n">
        <v>1199.96</v>
      </c>
    </row>
    <row r="108">
      <c r="A108" t="inlineStr">
        <is>
          <t>TRX0107</t>
        </is>
      </c>
      <c r="B108" s="4" t="n">
        <v>45550</v>
      </c>
      <c r="C108" t="inlineStr">
        <is>
          <t>CUST039</t>
        </is>
      </c>
      <c r="D108" t="inlineStr">
        <is>
          <t>Lawrence Reed</t>
        </is>
      </c>
      <c r="E108" t="inlineStr">
        <is>
          <t>P010</t>
        </is>
      </c>
      <c r="F108" t="inlineStr">
        <is>
          <t>Keyboard</t>
        </is>
      </c>
      <c r="G108" t="inlineStr">
        <is>
          <t>Electronics</t>
        </is>
      </c>
      <c r="H108" t="n">
        <v>1</v>
      </c>
      <c r="I108" s="5" t="n">
        <v>89.98999999999999</v>
      </c>
      <c r="J108" t="inlineStr">
        <is>
          <t>Cash</t>
        </is>
      </c>
      <c r="K108" t="inlineStr">
        <is>
          <t>South</t>
        </is>
      </c>
      <c r="L108" t="inlineStr">
        <is>
          <t>Premium</t>
        </is>
      </c>
      <c r="M108" s="4" t="n">
        <v>44629</v>
      </c>
      <c r="N108" s="5" t="n">
        <v>89.98999999999999</v>
      </c>
    </row>
    <row r="109">
      <c r="A109" t="inlineStr">
        <is>
          <t>TRX0108</t>
        </is>
      </c>
      <c r="B109" s="4" t="n">
        <v>45549</v>
      </c>
      <c r="C109" t="inlineStr">
        <is>
          <t>CUST018</t>
        </is>
      </c>
      <c r="D109" t="inlineStr">
        <is>
          <t>Barbara Young</t>
        </is>
      </c>
      <c r="E109" t="inlineStr">
        <is>
          <t>P002</t>
        </is>
      </c>
      <c r="F109" t="inlineStr">
        <is>
          <t>Smartphone</t>
        </is>
      </c>
      <c r="G109" t="inlineStr">
        <is>
          <t>Electronics</t>
        </is>
      </c>
      <c r="H109" t="n">
        <v>2</v>
      </c>
      <c r="I109" s="5" t="n">
        <v>699.99</v>
      </c>
      <c r="J109" t="inlineStr">
        <is>
          <t>Credit Card</t>
        </is>
      </c>
      <c r="K109" t="inlineStr">
        <is>
          <t>Central</t>
        </is>
      </c>
      <c r="L109" t="inlineStr">
        <is>
          <t>Basic</t>
        </is>
      </c>
      <c r="M109" s="4" t="n">
        <v>44517</v>
      </c>
      <c r="N109" s="5" t="n">
        <v>1399.98</v>
      </c>
    </row>
    <row r="110">
      <c r="A110" t="inlineStr">
        <is>
          <t>TRX0109</t>
        </is>
      </c>
      <c r="B110" s="4" t="n">
        <v>45553</v>
      </c>
      <c r="C110" t="inlineStr">
        <is>
          <t>CUST001</t>
        </is>
      </c>
      <c r="D110" t="inlineStr">
        <is>
          <t>John Smith</t>
        </is>
      </c>
      <c r="E110" t="inlineStr">
        <is>
          <t>P007</t>
        </is>
      </c>
      <c r="F110" t="inlineStr">
        <is>
          <t>Desk</t>
        </is>
      </c>
      <c r="G110" t="inlineStr">
        <is>
          <t>Furniture</t>
        </is>
      </c>
      <c r="H110" t="n">
        <v>4</v>
      </c>
      <c r="I110" s="5" t="n">
        <v>299.99</v>
      </c>
      <c r="J110" t="inlineStr">
        <is>
          <t>PayPal</t>
        </is>
      </c>
      <c r="K110" t="inlineStr">
        <is>
          <t>East</t>
        </is>
      </c>
      <c r="L110" t="inlineStr">
        <is>
          <t>Basic</t>
        </is>
      </c>
      <c r="M110" s="4" t="n">
        <v>44671</v>
      </c>
      <c r="N110" s="5" t="n">
        <v>1199.96</v>
      </c>
    </row>
    <row r="111">
      <c r="A111" t="inlineStr">
        <is>
          <t>TRX0110</t>
        </is>
      </c>
      <c r="B111" s="4" t="n">
        <v>45551</v>
      </c>
      <c r="C111" t="inlineStr">
        <is>
          <t>CUST020</t>
        </is>
      </c>
      <c r="D111" t="inlineStr">
        <is>
          <t>Margaret Wright</t>
        </is>
      </c>
      <c r="E111" t="inlineStr">
        <is>
          <t>P005</t>
        </is>
      </c>
      <c r="F111" t="inlineStr">
        <is>
          <t>Blender</t>
        </is>
      </c>
      <c r="G111" t="inlineStr">
        <is>
          <t>Appliances</t>
        </is>
      </c>
      <c r="H111" t="n">
        <v>4</v>
      </c>
      <c r="I111" s="5" t="n">
        <v>59.99</v>
      </c>
      <c r="J111" t="inlineStr">
        <is>
          <t>Credit Card</t>
        </is>
      </c>
      <c r="K111" t="inlineStr">
        <is>
          <t>East</t>
        </is>
      </c>
      <c r="L111" t="inlineStr">
        <is>
          <t>Premium</t>
        </is>
      </c>
      <c r="M111" s="4" t="n">
        <v>44602</v>
      </c>
      <c r="N111" s="5" t="n">
        <v>239.96</v>
      </c>
    </row>
    <row r="112">
      <c r="A112" t="inlineStr">
        <is>
          <t>TRX0111</t>
        </is>
      </c>
      <c r="B112" s="4" t="n">
        <v>45553</v>
      </c>
      <c r="C112" t="inlineStr">
        <is>
          <t>CUST029</t>
        </is>
      </c>
      <c r="D112" t="inlineStr">
        <is>
          <t>Edward Mitchell</t>
        </is>
      </c>
      <c r="E112" t="inlineStr">
        <is>
          <t>P002</t>
        </is>
      </c>
      <c r="F112" t="inlineStr">
        <is>
          <t>Smartphone</t>
        </is>
      </c>
      <c r="G112" t="inlineStr">
        <is>
          <t>Electronics</t>
        </is>
      </c>
      <c r="H112" t="n">
        <v>5</v>
      </c>
      <c r="I112" s="5" t="n">
        <v>699.99</v>
      </c>
      <c r="J112" t="inlineStr">
        <is>
          <t>Credit Card</t>
        </is>
      </c>
      <c r="K112" t="inlineStr">
        <is>
          <t>East</t>
        </is>
      </c>
      <c r="L112" t="inlineStr">
        <is>
          <t>Basic</t>
        </is>
      </c>
      <c r="M112" s="4" t="n">
        <v>44343</v>
      </c>
      <c r="N112" s="5" t="n">
        <v>3499.95</v>
      </c>
    </row>
    <row r="113">
      <c r="A113" t="inlineStr">
        <is>
          <t>TRX0112</t>
        </is>
      </c>
      <c r="B113" s="4" t="n">
        <v>45557</v>
      </c>
      <c r="C113" t="inlineStr">
        <is>
          <t>CUST004</t>
        </is>
      </c>
      <c r="D113" t="inlineStr">
        <is>
          <t>Sarah Davis</t>
        </is>
      </c>
      <c r="E113" t="inlineStr">
        <is>
          <t>P003</t>
        </is>
      </c>
      <c r="F113" t="inlineStr">
        <is>
          <t>Headphones</t>
        </is>
      </c>
      <c r="G113" t="inlineStr">
        <is>
          <t>Electronics</t>
        </is>
      </c>
      <c r="H113" t="n">
        <v>3</v>
      </c>
      <c r="I113" s="5" t="n">
        <v>149.99</v>
      </c>
      <c r="J113" t="inlineStr">
        <is>
          <t>Debit Card</t>
        </is>
      </c>
      <c r="K113" t="inlineStr">
        <is>
          <t>West</t>
        </is>
      </c>
      <c r="L113" t="inlineStr">
        <is>
          <t>Basic</t>
        </is>
      </c>
      <c r="M113" s="4" t="n">
        <v>45156</v>
      </c>
      <c r="N113" s="5" t="n">
        <v>449.97</v>
      </c>
    </row>
    <row r="114">
      <c r="A114" t="inlineStr">
        <is>
          <t>TRX0113</t>
        </is>
      </c>
      <c r="B114" s="4" t="n">
        <v>45557</v>
      </c>
      <c r="C114" t="inlineStr">
        <is>
          <t>CUST048</t>
        </is>
      </c>
      <c r="D114" t="inlineStr">
        <is>
          <t>Virginia Sanders</t>
        </is>
      </c>
      <c r="E114" t="inlineStr">
        <is>
          <t>P005</t>
        </is>
      </c>
      <c r="F114" t="inlineStr">
        <is>
          <t>Blender</t>
        </is>
      </c>
      <c r="G114" t="inlineStr">
        <is>
          <t>Appliances</t>
        </is>
      </c>
      <c r="H114" t="n">
        <v>4</v>
      </c>
      <c r="I114" s="5" t="n">
        <v>59.99</v>
      </c>
      <c r="J114" t="inlineStr">
        <is>
          <t>PayPal</t>
        </is>
      </c>
      <c r="K114" t="inlineStr">
        <is>
          <t>West</t>
        </is>
      </c>
      <c r="L114" t="inlineStr">
        <is>
          <t>Basic</t>
        </is>
      </c>
      <c r="M114" s="4" t="n">
        <v>44278</v>
      </c>
      <c r="N114" s="5" t="n">
        <v>239.96</v>
      </c>
    </row>
    <row r="115">
      <c r="A115" t="inlineStr">
        <is>
          <t>TRX0114</t>
        </is>
      </c>
      <c r="B115" s="4" t="n">
        <v>45558</v>
      </c>
      <c r="C115" t="inlineStr">
        <is>
          <t>CUST029</t>
        </is>
      </c>
      <c r="D115" t="inlineStr">
        <is>
          <t>Edward Mitchell</t>
        </is>
      </c>
      <c r="E115" t="inlineStr">
        <is>
          <t>P006</t>
        </is>
      </c>
      <c r="F115" t="inlineStr">
        <is>
          <t>Office Chair</t>
        </is>
      </c>
      <c r="G115" t="inlineStr">
        <is>
          <t>Furniture</t>
        </is>
      </c>
      <c r="H115" t="n">
        <v>5</v>
      </c>
      <c r="I115" s="5" t="n">
        <v>199.99</v>
      </c>
      <c r="J115" t="inlineStr">
        <is>
          <t>Cash</t>
        </is>
      </c>
      <c r="K115" t="inlineStr">
        <is>
          <t>North</t>
        </is>
      </c>
      <c r="L115" t="inlineStr">
        <is>
          <t>Basic</t>
        </is>
      </c>
      <c r="M115" s="4" t="n">
        <v>45375</v>
      </c>
      <c r="N115" s="5" t="n">
        <v>999.95</v>
      </c>
    </row>
    <row r="116">
      <c r="A116" t="inlineStr">
        <is>
          <t>TRX0115</t>
        </is>
      </c>
      <c r="B116" s="4" t="n">
        <v>45562</v>
      </c>
      <c r="C116" t="inlineStr">
        <is>
          <t>CUST040</t>
        </is>
      </c>
      <c r="D116" t="inlineStr">
        <is>
          <t>Sharon Butler</t>
        </is>
      </c>
      <c r="E116" t="inlineStr">
        <is>
          <t>P001</t>
        </is>
      </c>
      <c r="F116" t="inlineStr">
        <is>
          <t>Laptop</t>
        </is>
      </c>
      <c r="G116" t="inlineStr">
        <is>
          <t>Electronics</t>
        </is>
      </c>
      <c r="H116" t="n">
        <v>3</v>
      </c>
      <c r="I116" s="5" t="n">
        <v>899.99</v>
      </c>
      <c r="J116" t="inlineStr">
        <is>
          <t>Cash</t>
        </is>
      </c>
      <c r="K116" t="inlineStr">
        <is>
          <t>South</t>
        </is>
      </c>
      <c r="L116" t="inlineStr">
        <is>
          <t>Standard</t>
        </is>
      </c>
      <c r="M116" s="4" t="n">
        <v>45259</v>
      </c>
      <c r="N116" s="5" t="n">
        <v>2699.97</v>
      </c>
    </row>
    <row r="117">
      <c r="A117" t="inlineStr">
        <is>
          <t>TRX0116</t>
        </is>
      </c>
      <c r="B117" s="4" t="n">
        <v>45560</v>
      </c>
      <c r="C117" t="inlineStr">
        <is>
          <t>CUST045</t>
        </is>
      </c>
      <c r="D117" t="inlineStr">
        <is>
          <t>Douglas Watson</t>
        </is>
      </c>
      <c r="E117" t="inlineStr">
        <is>
          <t>P008</t>
        </is>
      </c>
      <c r="F117" t="inlineStr">
        <is>
          <t>Bookshelf</t>
        </is>
      </c>
      <c r="G117" t="inlineStr">
        <is>
          <t>Furniture</t>
        </is>
      </c>
      <c r="H117" t="n">
        <v>3</v>
      </c>
      <c r="I117" s="5" t="n">
        <v>149.99</v>
      </c>
      <c r="J117" t="inlineStr">
        <is>
          <t>PayPal</t>
        </is>
      </c>
      <c r="K117" t="inlineStr">
        <is>
          <t>West</t>
        </is>
      </c>
      <c r="L117" t="inlineStr">
        <is>
          <t>Basic</t>
        </is>
      </c>
      <c r="M117" s="4" t="n">
        <v>45159</v>
      </c>
      <c r="N117" s="5" t="n">
        <v>449.97</v>
      </c>
    </row>
    <row r="118">
      <c r="A118" t="inlineStr">
        <is>
          <t>TRX0117</t>
        </is>
      </c>
      <c r="B118" s="4" t="n">
        <v>45563</v>
      </c>
      <c r="C118" t="inlineStr">
        <is>
          <t>CUST024</t>
        </is>
      </c>
      <c r="D118" t="inlineStr">
        <is>
          <t>Dorothy Nelson</t>
        </is>
      </c>
      <c r="E118" t="inlineStr">
        <is>
          <t>P007</t>
        </is>
      </c>
      <c r="F118" t="inlineStr">
        <is>
          <t>Desk</t>
        </is>
      </c>
      <c r="G118" t="inlineStr">
        <is>
          <t>Furniture</t>
        </is>
      </c>
      <c r="H118" t="n">
        <v>3</v>
      </c>
      <c r="I118" s="5" t="n">
        <v>299.99</v>
      </c>
      <c r="J118" t="inlineStr">
        <is>
          <t>Cash</t>
        </is>
      </c>
      <c r="K118" t="inlineStr">
        <is>
          <t>South</t>
        </is>
      </c>
      <c r="L118" t="inlineStr">
        <is>
          <t>Standard</t>
        </is>
      </c>
      <c r="M118" s="4" t="n">
        <v>45040</v>
      </c>
      <c r="N118" s="5" t="n">
        <v>899.97</v>
      </c>
    </row>
    <row r="119">
      <c r="A119" t="inlineStr">
        <is>
          <t>TRX0118</t>
        </is>
      </c>
      <c r="B119" s="4" t="n">
        <v>45565</v>
      </c>
      <c r="C119" t="inlineStr">
        <is>
          <t>CUST048</t>
        </is>
      </c>
      <c r="D119" t="inlineStr">
        <is>
          <t>Virginia Sanders</t>
        </is>
      </c>
      <c r="E119" t="inlineStr">
        <is>
          <t>P008</t>
        </is>
      </c>
      <c r="F119" t="inlineStr">
        <is>
          <t>Bookshelf</t>
        </is>
      </c>
      <c r="G119" t="inlineStr">
        <is>
          <t>Furniture</t>
        </is>
      </c>
      <c r="H119" t="n">
        <v>3</v>
      </c>
      <c r="I119" s="5" t="n">
        <v>149.99</v>
      </c>
      <c r="J119" t="inlineStr">
        <is>
          <t>Cash</t>
        </is>
      </c>
      <c r="K119" t="inlineStr">
        <is>
          <t>West</t>
        </is>
      </c>
      <c r="L119" t="inlineStr">
        <is>
          <t>Basic</t>
        </is>
      </c>
      <c r="M119" s="4" t="n">
        <v>44841</v>
      </c>
      <c r="N119" s="5" t="n">
        <v>449.97</v>
      </c>
    </row>
    <row r="120">
      <c r="A120" t="inlineStr">
        <is>
          <t>TRX0119</t>
        </is>
      </c>
      <c r="B120" s="4" t="n">
        <v>45567</v>
      </c>
      <c r="C120" t="inlineStr">
        <is>
          <t>CUST018</t>
        </is>
      </c>
      <c r="D120" t="inlineStr">
        <is>
          <t>Barbara Young</t>
        </is>
      </c>
      <c r="E120" t="inlineStr">
        <is>
          <t>P006</t>
        </is>
      </c>
      <c r="F120" t="inlineStr">
        <is>
          <t>Office Chair</t>
        </is>
      </c>
      <c r="G120" t="inlineStr">
        <is>
          <t>Furniture</t>
        </is>
      </c>
      <c r="H120" t="n">
        <v>1</v>
      </c>
      <c r="I120" s="5" t="n">
        <v>199.99</v>
      </c>
      <c r="J120" t="inlineStr">
        <is>
          <t>Cash</t>
        </is>
      </c>
      <c r="K120" t="inlineStr">
        <is>
          <t>Central</t>
        </is>
      </c>
      <c r="L120" t="inlineStr">
        <is>
          <t>Standard</t>
        </is>
      </c>
      <c r="M120" s="4" t="n">
        <v>45043</v>
      </c>
      <c r="N120" s="5" t="n">
        <v>199.99</v>
      </c>
    </row>
    <row r="121">
      <c r="A121" t="inlineStr">
        <is>
          <t>TRX0120</t>
        </is>
      </c>
      <c r="B121" s="4" t="n">
        <v>45567</v>
      </c>
      <c r="C121" t="inlineStr">
        <is>
          <t>CUST004</t>
        </is>
      </c>
      <c r="D121" t="inlineStr">
        <is>
          <t>Sarah Davis</t>
        </is>
      </c>
      <c r="E121" t="inlineStr">
        <is>
          <t>P004</t>
        </is>
      </c>
      <c r="F121" t="inlineStr">
        <is>
          <t>Coffee Maker</t>
        </is>
      </c>
      <c r="G121" t="inlineStr">
        <is>
          <t>Appliances</t>
        </is>
      </c>
      <c r="H121" t="n">
        <v>5</v>
      </c>
      <c r="I121" s="5" t="n">
        <v>79.98999999999999</v>
      </c>
      <c r="J121" t="inlineStr">
        <is>
          <t>PayPal</t>
        </is>
      </c>
      <c r="K121" t="inlineStr">
        <is>
          <t>West</t>
        </is>
      </c>
      <c r="L121" t="inlineStr">
        <is>
          <t>Basic</t>
        </is>
      </c>
      <c r="M121" s="4" t="n">
        <v>44613</v>
      </c>
      <c r="N121" s="5" t="n">
        <v>399.95</v>
      </c>
    </row>
    <row r="122">
      <c r="A122" t="inlineStr">
        <is>
          <t>TRX0121</t>
        </is>
      </c>
      <c r="B122" s="4" t="n">
        <v>45569</v>
      </c>
      <c r="C122" t="inlineStr">
        <is>
          <t>CUST019</t>
        </is>
      </c>
      <c r="D122" t="inlineStr">
        <is>
          <t>Daniel King</t>
        </is>
      </c>
      <c r="E122" t="inlineStr">
        <is>
          <t>P009</t>
        </is>
      </c>
      <c r="F122" t="inlineStr">
        <is>
          <t>Monitor</t>
        </is>
      </c>
      <c r="G122" t="inlineStr">
        <is>
          <t>Electronics</t>
        </is>
      </c>
      <c r="H122" t="n">
        <v>2</v>
      </c>
      <c r="I122" s="5" t="n">
        <v>249.99</v>
      </c>
      <c r="J122" t="inlineStr">
        <is>
          <t>PayPal</t>
        </is>
      </c>
      <c r="K122" t="inlineStr">
        <is>
          <t>West</t>
        </is>
      </c>
      <c r="L122" t="inlineStr">
        <is>
          <t>Basic</t>
        </is>
      </c>
      <c r="M122" s="4" t="n">
        <v>44256</v>
      </c>
      <c r="N122" s="5" t="n">
        <v>499.98</v>
      </c>
    </row>
    <row r="123">
      <c r="A123" t="inlineStr">
        <is>
          <t>TRX0122</t>
        </is>
      </c>
      <c r="B123" s="4" t="n">
        <v>45569</v>
      </c>
      <c r="C123" t="inlineStr">
        <is>
          <t>CUST044</t>
        </is>
      </c>
      <c r="D123" t="inlineStr">
        <is>
          <t>Cynthia Price</t>
        </is>
      </c>
      <c r="E123" t="inlineStr">
        <is>
          <t>P010</t>
        </is>
      </c>
      <c r="F123" t="inlineStr">
        <is>
          <t>Keyboard</t>
        </is>
      </c>
      <c r="G123" t="inlineStr">
        <is>
          <t>Electronics</t>
        </is>
      </c>
      <c r="H123" t="n">
        <v>2</v>
      </c>
      <c r="I123" s="5" t="n">
        <v>89.98999999999999</v>
      </c>
      <c r="J123" t="inlineStr">
        <is>
          <t>Debit Card</t>
        </is>
      </c>
      <c r="K123" t="inlineStr">
        <is>
          <t>Central</t>
        </is>
      </c>
      <c r="L123" t="inlineStr">
        <is>
          <t>Basic</t>
        </is>
      </c>
      <c r="M123" s="4" t="n">
        <v>45328</v>
      </c>
      <c r="N123" s="5" t="n">
        <v>179.98</v>
      </c>
    </row>
    <row r="124">
      <c r="A124" t="inlineStr">
        <is>
          <t>TRX0123</t>
        </is>
      </c>
      <c r="B124" s="4" t="n">
        <v>45569</v>
      </c>
      <c r="C124" t="inlineStr">
        <is>
          <t>CUST028</t>
        </is>
      </c>
      <c r="D124" t="inlineStr">
        <is>
          <t>Betty Campbell</t>
        </is>
      </c>
      <c r="E124" t="inlineStr">
        <is>
          <t>P002</t>
        </is>
      </c>
      <c r="F124" t="inlineStr">
        <is>
          <t>Smartphone</t>
        </is>
      </c>
      <c r="G124" t="inlineStr">
        <is>
          <t>Electronics</t>
        </is>
      </c>
      <c r="H124" t="n">
        <v>2</v>
      </c>
      <c r="I124" s="5" t="n">
        <v>699.99</v>
      </c>
      <c r="J124" t="inlineStr">
        <is>
          <t>PayPal</t>
        </is>
      </c>
      <c r="K124" t="inlineStr">
        <is>
          <t>North</t>
        </is>
      </c>
      <c r="L124" t="inlineStr">
        <is>
          <t>Premium</t>
        </is>
      </c>
      <c r="M124" s="4" t="n">
        <v>44512</v>
      </c>
      <c r="N124" s="5" t="n">
        <v>1399.98</v>
      </c>
    </row>
    <row r="125">
      <c r="A125" t="inlineStr">
        <is>
          <t>TRX0124</t>
        </is>
      </c>
      <c r="B125" s="4" t="n">
        <v>45573</v>
      </c>
      <c r="C125" t="inlineStr">
        <is>
          <t>CUST033</t>
        </is>
      </c>
      <c r="D125" t="inlineStr">
        <is>
          <t>Frank Torres</t>
        </is>
      </c>
      <c r="E125" t="inlineStr">
        <is>
          <t>P005</t>
        </is>
      </c>
      <c r="F125" t="inlineStr">
        <is>
          <t>Blender</t>
        </is>
      </c>
      <c r="G125" t="inlineStr">
        <is>
          <t>Appliances</t>
        </is>
      </c>
      <c r="H125" t="n">
        <v>5</v>
      </c>
      <c r="I125" s="5" t="n">
        <v>59.99</v>
      </c>
      <c r="J125" t="inlineStr">
        <is>
          <t>PayPal</t>
        </is>
      </c>
      <c r="K125" t="inlineStr">
        <is>
          <t>West</t>
        </is>
      </c>
      <c r="L125" t="inlineStr">
        <is>
          <t>Standard</t>
        </is>
      </c>
      <c r="M125" s="4" t="n">
        <v>44696</v>
      </c>
      <c r="N125" s="5" t="n">
        <v>299.95</v>
      </c>
    </row>
    <row r="126">
      <c r="A126" t="inlineStr">
        <is>
          <t>TRX0125</t>
        </is>
      </c>
      <c r="B126" s="4" t="n">
        <v>45575</v>
      </c>
      <c r="C126" t="inlineStr">
        <is>
          <t>CUST031</t>
        </is>
      </c>
      <c r="D126" t="inlineStr">
        <is>
          <t>Steven Turner</t>
        </is>
      </c>
      <c r="E126" t="inlineStr">
        <is>
          <t>P009</t>
        </is>
      </c>
      <c r="F126" t="inlineStr">
        <is>
          <t>Monitor</t>
        </is>
      </c>
      <c r="G126" t="inlineStr">
        <is>
          <t>Electronics</t>
        </is>
      </c>
      <c r="H126" t="n">
        <v>2</v>
      </c>
      <c r="I126" s="5" t="n">
        <v>249.99</v>
      </c>
      <c r="J126" t="inlineStr">
        <is>
          <t>Credit Card</t>
        </is>
      </c>
      <c r="K126" t="inlineStr">
        <is>
          <t>Central</t>
        </is>
      </c>
      <c r="L126" t="inlineStr">
        <is>
          <t>Premium</t>
        </is>
      </c>
      <c r="M126" s="4" t="n">
        <v>44476</v>
      </c>
      <c r="N126" s="5" t="n">
        <v>499.98</v>
      </c>
    </row>
    <row r="127">
      <c r="A127" t="inlineStr">
        <is>
          <t>TRX0126</t>
        </is>
      </c>
      <c r="B127" s="4" t="n">
        <v>45576</v>
      </c>
      <c r="C127" t="inlineStr">
        <is>
          <t>CUST006</t>
        </is>
      </c>
      <c r="D127" t="inlineStr">
        <is>
          <t>Lisa Anderson</t>
        </is>
      </c>
      <c r="E127" t="inlineStr">
        <is>
          <t>P005</t>
        </is>
      </c>
      <c r="F127" t="inlineStr">
        <is>
          <t>Blender</t>
        </is>
      </c>
      <c r="G127" t="inlineStr">
        <is>
          <t>Appliances</t>
        </is>
      </c>
      <c r="H127" t="n">
        <v>4</v>
      </c>
      <c r="I127" s="5" t="n">
        <v>59.99</v>
      </c>
      <c r="J127" t="inlineStr">
        <is>
          <t>Debit Card</t>
        </is>
      </c>
      <c r="K127" t="inlineStr">
        <is>
          <t>North</t>
        </is>
      </c>
      <c r="L127" t="inlineStr">
        <is>
          <t>Standard</t>
        </is>
      </c>
      <c r="M127" s="4" t="n">
        <v>44808</v>
      </c>
      <c r="N127" s="5" t="n">
        <v>239.96</v>
      </c>
    </row>
    <row r="128">
      <c r="A128" t="inlineStr">
        <is>
          <t>TRX0127</t>
        </is>
      </c>
      <c r="B128" s="4" t="n">
        <v>45576</v>
      </c>
      <c r="C128" t="inlineStr">
        <is>
          <t>CUST040</t>
        </is>
      </c>
      <c r="D128" t="inlineStr">
        <is>
          <t>Sharon Butler</t>
        </is>
      </c>
      <c r="E128" t="inlineStr">
        <is>
          <t>P010</t>
        </is>
      </c>
      <c r="F128" t="inlineStr">
        <is>
          <t>Keyboard</t>
        </is>
      </c>
      <c r="G128" t="inlineStr">
        <is>
          <t>Electronics</t>
        </is>
      </c>
      <c r="H128" t="n">
        <v>4</v>
      </c>
      <c r="I128" s="5" t="n">
        <v>89.98999999999999</v>
      </c>
      <c r="J128" t="inlineStr">
        <is>
          <t>PayPal</t>
        </is>
      </c>
      <c r="K128" t="inlineStr">
        <is>
          <t>Central</t>
        </is>
      </c>
      <c r="L128" t="inlineStr">
        <is>
          <t>Standard</t>
        </is>
      </c>
      <c r="M128" s="4" t="n">
        <v>44903</v>
      </c>
      <c r="N128" s="5" t="n">
        <v>359.96</v>
      </c>
    </row>
    <row r="129">
      <c r="A129" t="inlineStr">
        <is>
          <t>TRX0128</t>
        </is>
      </c>
      <c r="B129" s="4" t="n">
        <v>45580</v>
      </c>
      <c r="C129" t="inlineStr">
        <is>
          <t>CUST023</t>
        </is>
      </c>
      <c r="D129" t="inlineStr">
        <is>
          <t>Paul Baker</t>
        </is>
      </c>
      <c r="E129" t="inlineStr">
        <is>
          <t>P009</t>
        </is>
      </c>
      <c r="F129" t="inlineStr">
        <is>
          <t>Monitor</t>
        </is>
      </c>
      <c r="G129" t="inlineStr">
        <is>
          <t>Electronics</t>
        </is>
      </c>
      <c r="H129" t="n">
        <v>5</v>
      </c>
      <c r="I129" s="5" t="n">
        <v>249.99</v>
      </c>
      <c r="J129" t="inlineStr">
        <is>
          <t>PayPal</t>
        </is>
      </c>
      <c r="K129" t="inlineStr">
        <is>
          <t>East</t>
        </is>
      </c>
      <c r="L129" t="inlineStr">
        <is>
          <t>Basic</t>
        </is>
      </c>
      <c r="M129" s="4" t="n">
        <v>44686</v>
      </c>
      <c r="N129" s="5" t="n">
        <v>1249.95</v>
      </c>
    </row>
    <row r="130">
      <c r="A130" t="inlineStr">
        <is>
          <t>TRX0129</t>
        </is>
      </c>
      <c r="B130" s="4" t="n">
        <v>45581</v>
      </c>
      <c r="C130" t="inlineStr">
        <is>
          <t>CUST039</t>
        </is>
      </c>
      <c r="D130" t="inlineStr">
        <is>
          <t>Lawrence Reed</t>
        </is>
      </c>
      <c r="E130" t="inlineStr">
        <is>
          <t>P007</t>
        </is>
      </c>
      <c r="F130" t="inlineStr">
        <is>
          <t>Desk</t>
        </is>
      </c>
      <c r="G130" t="inlineStr">
        <is>
          <t>Furniture</t>
        </is>
      </c>
      <c r="H130" t="n">
        <v>2</v>
      </c>
      <c r="I130" s="5" t="n">
        <v>299.99</v>
      </c>
      <c r="J130" t="inlineStr">
        <is>
          <t>Cash</t>
        </is>
      </c>
      <c r="K130" t="inlineStr">
        <is>
          <t>East</t>
        </is>
      </c>
      <c r="L130" t="inlineStr">
        <is>
          <t>Premium</t>
        </is>
      </c>
      <c r="M130" s="4" t="n">
        <v>45165</v>
      </c>
      <c r="N130" s="5" t="n">
        <v>599.98</v>
      </c>
    </row>
    <row r="131">
      <c r="A131" t="inlineStr">
        <is>
          <t>TRX0130</t>
        </is>
      </c>
      <c r="B131" s="4" t="n">
        <v>45581</v>
      </c>
      <c r="C131" t="inlineStr">
        <is>
          <t>CUST049</t>
        </is>
      </c>
      <c r="D131" t="inlineStr">
        <is>
          <t>Raymond Ross</t>
        </is>
      </c>
      <c r="E131" t="inlineStr">
        <is>
          <t>P007</t>
        </is>
      </c>
      <c r="F131" t="inlineStr">
        <is>
          <t>Desk</t>
        </is>
      </c>
      <c r="G131" t="inlineStr">
        <is>
          <t>Furniture</t>
        </is>
      </c>
      <c r="H131" t="n">
        <v>4</v>
      </c>
      <c r="I131" s="5" t="n">
        <v>299.99</v>
      </c>
      <c r="J131" t="inlineStr">
        <is>
          <t>PayPal</t>
        </is>
      </c>
      <c r="K131" t="inlineStr">
        <is>
          <t>North</t>
        </is>
      </c>
      <c r="L131" t="inlineStr">
        <is>
          <t>Basic</t>
        </is>
      </c>
      <c r="M131" s="4" t="n">
        <v>45225</v>
      </c>
      <c r="N131" s="5" t="n">
        <v>1199.96</v>
      </c>
    </row>
    <row r="132">
      <c r="A132" t="inlineStr">
        <is>
          <t>TRX0131</t>
        </is>
      </c>
      <c r="B132" s="4" t="n">
        <v>45584</v>
      </c>
      <c r="C132" t="inlineStr">
        <is>
          <t>CUST040</t>
        </is>
      </c>
      <c r="D132" t="inlineStr">
        <is>
          <t>Sharon Butler</t>
        </is>
      </c>
      <c r="E132" t="inlineStr">
        <is>
          <t>P006</t>
        </is>
      </c>
      <c r="F132" t="inlineStr">
        <is>
          <t>Office Chair</t>
        </is>
      </c>
      <c r="G132" t="inlineStr">
        <is>
          <t>Furniture</t>
        </is>
      </c>
      <c r="H132" t="n">
        <v>1</v>
      </c>
      <c r="I132" s="5" t="n">
        <v>199.99</v>
      </c>
      <c r="J132" t="inlineStr">
        <is>
          <t>Cash</t>
        </is>
      </c>
      <c r="K132" t="inlineStr">
        <is>
          <t>Central</t>
        </is>
      </c>
      <c r="L132" t="inlineStr">
        <is>
          <t>Standard</t>
        </is>
      </c>
      <c r="M132" s="4" t="n">
        <v>44228</v>
      </c>
      <c r="N132" s="5" t="n">
        <v>199.99</v>
      </c>
    </row>
    <row r="133">
      <c r="A133" t="inlineStr">
        <is>
          <t>TRX0132</t>
        </is>
      </c>
      <c r="B133" s="4" t="n">
        <v>45582</v>
      </c>
      <c r="C133" t="inlineStr">
        <is>
          <t>CUST011</t>
        </is>
      </c>
      <c r="D133" t="inlineStr">
        <is>
          <t>William White</t>
        </is>
      </c>
      <c r="E133" t="inlineStr">
        <is>
          <t>P007</t>
        </is>
      </c>
      <c r="F133" t="inlineStr">
        <is>
          <t>Desk</t>
        </is>
      </c>
      <c r="G133" t="inlineStr">
        <is>
          <t>Furniture</t>
        </is>
      </c>
      <c r="H133" t="n">
        <v>2</v>
      </c>
      <c r="I133" s="5" t="n">
        <v>299.99</v>
      </c>
      <c r="J133" t="inlineStr">
        <is>
          <t>PayPal</t>
        </is>
      </c>
      <c r="K133" t="inlineStr">
        <is>
          <t>East</t>
        </is>
      </c>
      <c r="L133" t="inlineStr">
        <is>
          <t>Standard</t>
        </is>
      </c>
      <c r="M133" s="4" t="n">
        <v>45011</v>
      </c>
      <c r="N133" s="5" t="n">
        <v>599.98</v>
      </c>
    </row>
    <row r="134">
      <c r="A134" t="inlineStr">
        <is>
          <t>TRX0133</t>
        </is>
      </c>
      <c r="B134" s="4" t="n">
        <v>45588</v>
      </c>
      <c r="C134" t="inlineStr">
        <is>
          <t>CUST045</t>
        </is>
      </c>
      <c r="D134" t="inlineStr">
        <is>
          <t>Douglas Watson</t>
        </is>
      </c>
      <c r="E134" t="inlineStr">
        <is>
          <t>P002</t>
        </is>
      </c>
      <c r="F134" t="inlineStr">
        <is>
          <t>Smartphone</t>
        </is>
      </c>
      <c r="G134" t="inlineStr">
        <is>
          <t>Electronics</t>
        </is>
      </c>
      <c r="H134" t="n">
        <v>3</v>
      </c>
      <c r="I134" s="5" t="n">
        <v>699.99</v>
      </c>
      <c r="J134" t="inlineStr">
        <is>
          <t>PayPal</t>
        </is>
      </c>
      <c r="K134" t="inlineStr">
        <is>
          <t>East</t>
        </is>
      </c>
      <c r="L134" t="inlineStr">
        <is>
          <t>Premium</t>
        </is>
      </c>
      <c r="M134" s="4" t="n">
        <v>45196</v>
      </c>
      <c r="N134" s="5" t="n">
        <v>2099.97</v>
      </c>
    </row>
    <row r="135">
      <c r="A135" t="inlineStr">
        <is>
          <t>TRX0134</t>
        </is>
      </c>
      <c r="B135" s="4" t="n">
        <v>45585</v>
      </c>
      <c r="C135" t="inlineStr">
        <is>
          <t>CUST036</t>
        </is>
      </c>
      <c r="D135" t="inlineStr">
        <is>
          <t>Nancy Collins</t>
        </is>
      </c>
      <c r="E135" t="inlineStr">
        <is>
          <t>P001</t>
        </is>
      </c>
      <c r="F135" t="inlineStr">
        <is>
          <t>Laptop</t>
        </is>
      </c>
      <c r="G135" t="inlineStr">
        <is>
          <t>Electronics</t>
        </is>
      </c>
      <c r="H135" t="n">
        <v>5</v>
      </c>
      <c r="I135" s="5" t="n">
        <v>899.99</v>
      </c>
      <c r="J135" t="inlineStr">
        <is>
          <t>Credit Card</t>
        </is>
      </c>
      <c r="K135" t="inlineStr">
        <is>
          <t>East</t>
        </is>
      </c>
      <c r="L135" t="inlineStr">
        <is>
          <t>Basic</t>
        </is>
      </c>
      <c r="M135" s="4" t="n">
        <v>44382</v>
      </c>
      <c r="N135" s="5" t="n">
        <v>4499.95</v>
      </c>
    </row>
    <row r="136">
      <c r="A136" t="inlineStr">
        <is>
          <t>TRX0135</t>
        </is>
      </c>
      <c r="B136" s="4" t="n">
        <v>45590</v>
      </c>
      <c r="C136" t="inlineStr">
        <is>
          <t>CUST029</t>
        </is>
      </c>
      <c r="D136" t="inlineStr">
        <is>
          <t>Edward Mitchell</t>
        </is>
      </c>
      <c r="E136" t="inlineStr">
        <is>
          <t>P002</t>
        </is>
      </c>
      <c r="F136" t="inlineStr">
        <is>
          <t>Smartphone</t>
        </is>
      </c>
      <c r="G136" t="inlineStr">
        <is>
          <t>Electronics</t>
        </is>
      </c>
      <c r="H136" t="n">
        <v>1</v>
      </c>
      <c r="I136" s="5" t="n">
        <v>699.99</v>
      </c>
      <c r="J136" t="inlineStr">
        <is>
          <t>Credit Card</t>
        </is>
      </c>
      <c r="K136" t="inlineStr">
        <is>
          <t>East</t>
        </is>
      </c>
      <c r="L136" t="inlineStr">
        <is>
          <t>Basic</t>
        </is>
      </c>
      <c r="M136" s="4" t="n">
        <v>44291</v>
      </c>
      <c r="N136" s="5" t="n">
        <v>699.99</v>
      </c>
    </row>
    <row r="137">
      <c r="A137" t="inlineStr">
        <is>
          <t>TRX0136</t>
        </is>
      </c>
      <c r="B137" s="4" t="n">
        <v>45590</v>
      </c>
      <c r="C137" t="inlineStr">
        <is>
          <t>CUST022</t>
        </is>
      </c>
      <c r="D137" t="inlineStr">
        <is>
          <t>Susan Green</t>
        </is>
      </c>
      <c r="E137" t="inlineStr">
        <is>
          <t>P001</t>
        </is>
      </c>
      <c r="F137" t="inlineStr">
        <is>
          <t>Laptop</t>
        </is>
      </c>
      <c r="G137" t="inlineStr">
        <is>
          <t>Electronics</t>
        </is>
      </c>
      <c r="H137" t="n">
        <v>3</v>
      </c>
      <c r="I137" s="5" t="n">
        <v>899.99</v>
      </c>
      <c r="J137" t="inlineStr">
        <is>
          <t>Debit Card</t>
        </is>
      </c>
      <c r="K137" t="inlineStr">
        <is>
          <t>West</t>
        </is>
      </c>
      <c r="L137" t="inlineStr">
        <is>
          <t>Basic</t>
        </is>
      </c>
      <c r="M137" s="4" t="n">
        <v>44697</v>
      </c>
      <c r="N137" s="5" t="n">
        <v>2699.97</v>
      </c>
    </row>
    <row r="138">
      <c r="A138" t="inlineStr">
        <is>
          <t>TRX0137</t>
        </is>
      </c>
      <c r="B138" s="4" t="n">
        <v>45591</v>
      </c>
      <c r="C138" t="inlineStr">
        <is>
          <t>CUST035</t>
        </is>
      </c>
      <c r="D138" t="inlineStr">
        <is>
          <t>Harry Morgan</t>
        </is>
      </c>
      <c r="E138" t="inlineStr">
        <is>
          <t>P007</t>
        </is>
      </c>
      <c r="F138" t="inlineStr">
        <is>
          <t>Desk</t>
        </is>
      </c>
      <c r="G138" t="inlineStr">
        <is>
          <t>Furniture</t>
        </is>
      </c>
      <c r="H138" t="n">
        <v>5</v>
      </c>
      <c r="I138" s="5" t="n">
        <v>299.99</v>
      </c>
      <c r="J138" t="inlineStr">
        <is>
          <t>Credit Card</t>
        </is>
      </c>
      <c r="K138" t="inlineStr">
        <is>
          <t>South</t>
        </is>
      </c>
      <c r="L138" t="inlineStr">
        <is>
          <t>Basic</t>
        </is>
      </c>
      <c r="M138" s="4" t="n">
        <v>44980</v>
      </c>
      <c r="N138" s="5" t="n">
        <v>1499.95</v>
      </c>
    </row>
    <row r="139">
      <c r="A139" t="inlineStr">
        <is>
          <t>TRX0138</t>
        </is>
      </c>
      <c r="B139" s="4" t="n">
        <v>45595</v>
      </c>
      <c r="C139" t="inlineStr">
        <is>
          <t>CUST043</t>
        </is>
      </c>
      <c r="D139" t="inlineStr">
        <is>
          <t>Dennis Gray</t>
        </is>
      </c>
      <c r="E139" t="inlineStr">
        <is>
          <t>P004</t>
        </is>
      </c>
      <c r="F139" t="inlineStr">
        <is>
          <t>Coffee Maker</t>
        </is>
      </c>
      <c r="G139" t="inlineStr">
        <is>
          <t>Appliances</t>
        </is>
      </c>
      <c r="H139" t="n">
        <v>4</v>
      </c>
      <c r="I139" s="5" t="n">
        <v>79.98999999999999</v>
      </c>
      <c r="J139" t="inlineStr">
        <is>
          <t>Credit Card</t>
        </is>
      </c>
      <c r="K139" t="inlineStr">
        <is>
          <t>South</t>
        </is>
      </c>
      <c r="L139" t="inlineStr">
        <is>
          <t>Standard</t>
        </is>
      </c>
      <c r="M139" s="4" t="n">
        <v>44717</v>
      </c>
      <c r="N139" s="5" t="n">
        <v>319.96</v>
      </c>
    </row>
    <row r="140">
      <c r="A140" t="inlineStr">
        <is>
          <t>TRX0139</t>
        </is>
      </c>
      <c r="B140" s="4" t="n">
        <v>45596</v>
      </c>
      <c r="C140" t="inlineStr">
        <is>
          <t>CUST031</t>
        </is>
      </c>
      <c r="D140" t="inlineStr">
        <is>
          <t>Steven Turner</t>
        </is>
      </c>
      <c r="E140" t="inlineStr">
        <is>
          <t>P005</t>
        </is>
      </c>
      <c r="F140" t="inlineStr">
        <is>
          <t>Blender</t>
        </is>
      </c>
      <c r="G140" t="inlineStr">
        <is>
          <t>Appliances</t>
        </is>
      </c>
      <c r="H140" t="n">
        <v>1</v>
      </c>
      <c r="I140" s="5" t="n">
        <v>59.99</v>
      </c>
      <c r="J140" t="inlineStr">
        <is>
          <t>Debit Card</t>
        </is>
      </c>
      <c r="K140" t="inlineStr">
        <is>
          <t>Central</t>
        </is>
      </c>
      <c r="L140" t="inlineStr">
        <is>
          <t>Basic</t>
        </is>
      </c>
      <c r="M140" s="4" t="n">
        <v>44348</v>
      </c>
      <c r="N140" s="5" t="n">
        <v>59.99</v>
      </c>
    </row>
    <row r="141">
      <c r="A141" t="inlineStr">
        <is>
          <t>TRX0140</t>
        </is>
      </c>
      <c r="B141" s="4" t="n">
        <v>45596</v>
      </c>
      <c r="C141" t="inlineStr">
        <is>
          <t>CUST030</t>
        </is>
      </c>
      <c r="D141" t="inlineStr">
        <is>
          <t>Helen Roberts</t>
        </is>
      </c>
      <c r="E141" t="inlineStr">
        <is>
          <t>P006</t>
        </is>
      </c>
      <c r="F141" t="inlineStr">
        <is>
          <t>Office Chair</t>
        </is>
      </c>
      <c r="G141" t="inlineStr">
        <is>
          <t>Furniture</t>
        </is>
      </c>
      <c r="H141" t="n">
        <v>5</v>
      </c>
      <c r="I141" s="5" t="n">
        <v>199.99</v>
      </c>
      <c r="J141" t="inlineStr">
        <is>
          <t>PayPal</t>
        </is>
      </c>
      <c r="K141" t="inlineStr">
        <is>
          <t>East</t>
        </is>
      </c>
      <c r="L141" t="inlineStr">
        <is>
          <t>Standard</t>
        </is>
      </c>
      <c r="M141" s="4" t="n">
        <v>44815</v>
      </c>
      <c r="N141" s="5" t="n">
        <v>999.95</v>
      </c>
    </row>
    <row r="142">
      <c r="A142" t="inlineStr">
        <is>
          <t>TRX0141</t>
        </is>
      </c>
      <c r="B142" s="4" t="n">
        <v>45596</v>
      </c>
      <c r="C142" t="inlineStr">
        <is>
          <t>CUST014</t>
        </is>
      </c>
      <c r="D142" t="inlineStr">
        <is>
          <t>Linda Martin</t>
        </is>
      </c>
      <c r="E142" t="inlineStr">
        <is>
          <t>P007</t>
        </is>
      </c>
      <c r="F142" t="inlineStr">
        <is>
          <t>Desk</t>
        </is>
      </c>
      <c r="G142" t="inlineStr">
        <is>
          <t>Furniture</t>
        </is>
      </c>
      <c r="H142" t="n">
        <v>4</v>
      </c>
      <c r="I142" s="5" t="n">
        <v>299.99</v>
      </c>
      <c r="J142" t="inlineStr">
        <is>
          <t>Credit Card</t>
        </is>
      </c>
      <c r="K142" t="inlineStr">
        <is>
          <t>West</t>
        </is>
      </c>
      <c r="L142" t="inlineStr">
        <is>
          <t>Premium</t>
        </is>
      </c>
      <c r="M142" s="4" t="n">
        <v>44932</v>
      </c>
      <c r="N142" s="5" t="n">
        <v>1199.96</v>
      </c>
    </row>
    <row r="143">
      <c r="A143" t="inlineStr">
        <is>
          <t>TRX0142</t>
        </is>
      </c>
      <c r="B143" s="4" t="n">
        <v>45597</v>
      </c>
      <c r="C143" t="inlineStr">
        <is>
          <t>CUST039</t>
        </is>
      </c>
      <c r="D143" t="inlineStr">
        <is>
          <t>Lawrence Reed</t>
        </is>
      </c>
      <c r="E143" t="inlineStr">
        <is>
          <t>P005</t>
        </is>
      </c>
      <c r="F143" t="inlineStr">
        <is>
          <t>Blender</t>
        </is>
      </c>
      <c r="G143" t="inlineStr">
        <is>
          <t>Appliances</t>
        </is>
      </c>
      <c r="H143" t="n">
        <v>3</v>
      </c>
      <c r="I143" s="5" t="n">
        <v>59.99</v>
      </c>
      <c r="J143" t="inlineStr">
        <is>
          <t>PayPal</t>
        </is>
      </c>
      <c r="K143" t="inlineStr">
        <is>
          <t>East</t>
        </is>
      </c>
      <c r="L143" t="inlineStr">
        <is>
          <t>Basic</t>
        </is>
      </c>
      <c r="M143" s="4" t="n">
        <v>45356</v>
      </c>
      <c r="N143" s="5" t="n">
        <v>179.97</v>
      </c>
    </row>
    <row r="144">
      <c r="A144" t="inlineStr">
        <is>
          <t>TRX0143</t>
        </is>
      </c>
      <c r="B144" s="4" t="n">
        <v>45601</v>
      </c>
      <c r="C144" t="inlineStr">
        <is>
          <t>CUST047</t>
        </is>
      </c>
      <c r="D144" t="inlineStr">
        <is>
          <t>Gerald Murphy</t>
        </is>
      </c>
      <c r="E144" t="inlineStr">
        <is>
          <t>P001</t>
        </is>
      </c>
      <c r="F144" t="inlineStr">
        <is>
          <t>Laptop</t>
        </is>
      </c>
      <c r="G144" t="inlineStr">
        <is>
          <t>Electronics</t>
        </is>
      </c>
      <c r="H144" t="n">
        <v>5</v>
      </c>
      <c r="I144" s="5" t="n">
        <v>899.99</v>
      </c>
      <c r="J144" t="inlineStr">
        <is>
          <t>Debit Card</t>
        </is>
      </c>
      <c r="K144" t="inlineStr">
        <is>
          <t>South</t>
        </is>
      </c>
      <c r="L144" t="inlineStr">
        <is>
          <t>Premium</t>
        </is>
      </c>
      <c r="M144" s="4" t="n">
        <v>44918</v>
      </c>
      <c r="N144" s="5" t="n">
        <v>4499.95</v>
      </c>
    </row>
    <row r="145">
      <c r="A145" t="inlineStr">
        <is>
          <t>TRX0144</t>
        </is>
      </c>
      <c r="B145" s="4" t="n">
        <v>45602</v>
      </c>
      <c r="C145" t="inlineStr">
        <is>
          <t>CUST016</t>
        </is>
      </c>
      <c r="D145" t="inlineStr">
        <is>
          <t>Elizabeth Hall</t>
        </is>
      </c>
      <c r="E145" t="inlineStr">
        <is>
          <t>P004</t>
        </is>
      </c>
      <c r="F145" t="inlineStr">
        <is>
          <t>Coffee Maker</t>
        </is>
      </c>
      <c r="G145" t="inlineStr">
        <is>
          <t>Appliances</t>
        </is>
      </c>
      <c r="H145" t="n">
        <v>5</v>
      </c>
      <c r="I145" s="5" t="n">
        <v>79.98999999999999</v>
      </c>
      <c r="J145" t="inlineStr">
        <is>
          <t>Credit Card</t>
        </is>
      </c>
      <c r="K145" t="inlineStr">
        <is>
          <t>North</t>
        </is>
      </c>
      <c r="L145" t="inlineStr">
        <is>
          <t>Premium</t>
        </is>
      </c>
      <c r="M145" s="4" t="n">
        <v>44277</v>
      </c>
      <c r="N145" s="5" t="n">
        <v>399.95</v>
      </c>
    </row>
    <row r="146">
      <c r="A146" t="inlineStr">
        <is>
          <t>TRX0145</t>
        </is>
      </c>
      <c r="B146" s="4" t="n">
        <v>45605</v>
      </c>
      <c r="C146" t="inlineStr">
        <is>
          <t>CUST021</t>
        </is>
      </c>
      <c r="D146" t="inlineStr">
        <is>
          <t>Kevin Scott</t>
        </is>
      </c>
      <c r="E146" t="inlineStr">
        <is>
          <t>P008</t>
        </is>
      </c>
      <c r="F146" t="inlineStr">
        <is>
          <t>Bookshelf</t>
        </is>
      </c>
      <c r="G146" t="inlineStr">
        <is>
          <t>Furniture</t>
        </is>
      </c>
      <c r="H146" t="n">
        <v>1</v>
      </c>
      <c r="I146" s="5" t="n">
        <v>149.99</v>
      </c>
      <c r="J146" t="inlineStr">
        <is>
          <t>Debit Card</t>
        </is>
      </c>
      <c r="K146" t="inlineStr">
        <is>
          <t>South</t>
        </is>
      </c>
      <c r="L146" t="inlineStr">
        <is>
          <t>Basic</t>
        </is>
      </c>
      <c r="M146" s="4" t="n">
        <v>44801</v>
      </c>
      <c r="N146" s="5" t="n">
        <v>149.99</v>
      </c>
    </row>
    <row r="147">
      <c r="A147" t="inlineStr">
        <is>
          <t>TRX0146</t>
        </is>
      </c>
      <c r="B147" s="4" t="n">
        <v>45604</v>
      </c>
      <c r="C147" t="inlineStr">
        <is>
          <t>CUST022</t>
        </is>
      </c>
      <c r="D147" t="inlineStr">
        <is>
          <t>Susan Green</t>
        </is>
      </c>
      <c r="E147" t="inlineStr">
        <is>
          <t>P007</t>
        </is>
      </c>
      <c r="F147" t="inlineStr">
        <is>
          <t>Desk</t>
        </is>
      </c>
      <c r="G147" t="inlineStr">
        <is>
          <t>Furniture</t>
        </is>
      </c>
      <c r="H147" t="n">
        <v>2</v>
      </c>
      <c r="I147" s="5" t="n">
        <v>299.99</v>
      </c>
      <c r="J147" t="inlineStr">
        <is>
          <t>Credit Card</t>
        </is>
      </c>
      <c r="K147" t="inlineStr">
        <is>
          <t>Central</t>
        </is>
      </c>
      <c r="L147" t="inlineStr">
        <is>
          <t>Standard</t>
        </is>
      </c>
      <c r="M147" s="4" t="n">
        <v>45284</v>
      </c>
      <c r="N147" s="5" t="n">
        <v>599.98</v>
      </c>
    </row>
    <row r="148">
      <c r="A148" t="inlineStr">
        <is>
          <t>TRX0147</t>
        </is>
      </c>
      <c r="B148" s="4" t="n">
        <v>45606</v>
      </c>
      <c r="C148" t="inlineStr">
        <is>
          <t>CUST034</t>
        </is>
      </c>
      <c r="D148" t="inlineStr">
        <is>
          <t>Carol Evans</t>
        </is>
      </c>
      <c r="E148" t="inlineStr">
        <is>
          <t>P005</t>
        </is>
      </c>
      <c r="F148" t="inlineStr">
        <is>
          <t>Blender</t>
        </is>
      </c>
      <c r="G148" t="inlineStr">
        <is>
          <t>Appliances</t>
        </is>
      </c>
      <c r="H148" t="n">
        <v>2</v>
      </c>
      <c r="I148" s="5" t="n">
        <v>59.99</v>
      </c>
      <c r="J148" t="inlineStr">
        <is>
          <t>PayPal</t>
        </is>
      </c>
      <c r="K148" t="inlineStr">
        <is>
          <t>East</t>
        </is>
      </c>
      <c r="L148" t="inlineStr">
        <is>
          <t>Premium</t>
        </is>
      </c>
      <c r="M148" s="4" t="n">
        <v>44890</v>
      </c>
      <c r="N148" s="5" t="n">
        <v>119.98</v>
      </c>
    </row>
    <row r="149">
      <c r="A149" t="inlineStr">
        <is>
          <t>TRX0148</t>
        </is>
      </c>
      <c r="B149" s="4" t="n">
        <v>45607</v>
      </c>
      <c r="C149" t="inlineStr">
        <is>
          <t>CUST009</t>
        </is>
      </c>
      <c r="D149" t="inlineStr">
        <is>
          <t>Robert Thomas</t>
        </is>
      </c>
      <c r="E149" t="inlineStr">
        <is>
          <t>P008</t>
        </is>
      </c>
      <c r="F149" t="inlineStr">
        <is>
          <t>Bookshelf</t>
        </is>
      </c>
      <c r="G149" t="inlineStr">
        <is>
          <t>Furniture</t>
        </is>
      </c>
      <c r="H149" t="n">
        <v>1</v>
      </c>
      <c r="I149" s="5" t="n">
        <v>149.99</v>
      </c>
      <c r="J149" t="inlineStr">
        <is>
          <t>Credit Card</t>
        </is>
      </c>
      <c r="K149" t="inlineStr">
        <is>
          <t>West</t>
        </is>
      </c>
      <c r="L149" t="inlineStr">
        <is>
          <t>Premium</t>
        </is>
      </c>
      <c r="M149" s="4" t="n">
        <v>44946</v>
      </c>
      <c r="N149" s="5" t="n">
        <v>149.99</v>
      </c>
    </row>
    <row r="150">
      <c r="A150" t="inlineStr">
        <is>
          <t>TRX0149</t>
        </is>
      </c>
      <c r="B150" s="4" t="n">
        <v>45609</v>
      </c>
      <c r="C150" t="inlineStr">
        <is>
          <t>CUST007</t>
        </is>
      </c>
      <c r="D150" t="inlineStr">
        <is>
          <t>David Martinez</t>
        </is>
      </c>
      <c r="E150" t="inlineStr">
        <is>
          <t>P007</t>
        </is>
      </c>
      <c r="F150" t="inlineStr">
        <is>
          <t>Desk</t>
        </is>
      </c>
      <c r="G150" t="inlineStr">
        <is>
          <t>Furniture</t>
        </is>
      </c>
      <c r="H150" t="n">
        <v>1</v>
      </c>
      <c r="I150" s="5" t="n">
        <v>299.99</v>
      </c>
      <c r="J150" t="inlineStr">
        <is>
          <t>Cash</t>
        </is>
      </c>
      <c r="K150" t="inlineStr">
        <is>
          <t>West</t>
        </is>
      </c>
      <c r="L150" t="inlineStr">
        <is>
          <t>Standard</t>
        </is>
      </c>
      <c r="M150" s="4" t="n">
        <v>44733</v>
      </c>
      <c r="N150" s="5" t="n">
        <v>299.99</v>
      </c>
    </row>
    <row r="151">
      <c r="A151" t="inlineStr">
        <is>
          <t>TRX0150</t>
        </is>
      </c>
      <c r="B151" s="4" t="n">
        <v>45609</v>
      </c>
      <c r="C151" t="inlineStr">
        <is>
          <t>CUST040</t>
        </is>
      </c>
      <c r="D151" t="inlineStr">
        <is>
          <t>Sharon Butler</t>
        </is>
      </c>
      <c r="E151" t="inlineStr">
        <is>
          <t>P007</t>
        </is>
      </c>
      <c r="F151" t="inlineStr">
        <is>
          <t>Desk</t>
        </is>
      </c>
      <c r="G151" t="inlineStr">
        <is>
          <t>Furniture</t>
        </is>
      </c>
      <c r="H151" t="n">
        <v>3</v>
      </c>
      <c r="I151" s="5" t="n">
        <v>299.99</v>
      </c>
      <c r="J151" t="inlineStr">
        <is>
          <t>Credit Card</t>
        </is>
      </c>
      <c r="K151" t="inlineStr">
        <is>
          <t>West</t>
        </is>
      </c>
      <c r="L151" t="inlineStr">
        <is>
          <t>Basic</t>
        </is>
      </c>
      <c r="M151" s="4" t="n">
        <v>45346</v>
      </c>
      <c r="N151" s="5" t="n">
        <v>899.97</v>
      </c>
    </row>
    <row r="152">
      <c r="A152" t="inlineStr">
        <is>
          <t>TRX0151</t>
        </is>
      </c>
      <c r="B152" s="4" t="n">
        <v>45610</v>
      </c>
      <c r="C152" t="inlineStr">
        <is>
          <t>CUST022</t>
        </is>
      </c>
      <c r="D152" t="inlineStr">
        <is>
          <t>Susan Green</t>
        </is>
      </c>
      <c r="E152" t="inlineStr">
        <is>
          <t>P010</t>
        </is>
      </c>
      <c r="F152" t="inlineStr">
        <is>
          <t>Keyboard</t>
        </is>
      </c>
      <c r="G152" t="inlineStr">
        <is>
          <t>Electronics</t>
        </is>
      </c>
      <c r="H152" t="n">
        <v>2</v>
      </c>
      <c r="I152" s="5" t="n">
        <v>89.98999999999999</v>
      </c>
      <c r="J152" t="inlineStr">
        <is>
          <t>PayPal</t>
        </is>
      </c>
      <c r="K152" t="inlineStr">
        <is>
          <t>East</t>
        </is>
      </c>
      <c r="L152" t="inlineStr">
        <is>
          <t>Premium</t>
        </is>
      </c>
      <c r="M152" s="4" t="n">
        <v>45033</v>
      </c>
      <c r="N152" s="5" t="n">
        <v>179.98</v>
      </c>
    </row>
    <row r="153">
      <c r="A153" t="inlineStr">
        <is>
          <t>TRX0152</t>
        </is>
      </c>
      <c r="B153" s="4" t="n">
        <v>45611</v>
      </c>
      <c r="C153" t="inlineStr">
        <is>
          <t>CUST009</t>
        </is>
      </c>
      <c r="D153" t="inlineStr">
        <is>
          <t>Robert Thomas</t>
        </is>
      </c>
      <c r="E153" t="inlineStr">
        <is>
          <t>P003</t>
        </is>
      </c>
      <c r="F153" t="inlineStr">
        <is>
          <t>Headphones</t>
        </is>
      </c>
      <c r="G153" t="inlineStr">
        <is>
          <t>Electronics</t>
        </is>
      </c>
      <c r="H153" t="n">
        <v>1</v>
      </c>
      <c r="I153" s="5" t="n">
        <v>149.99</v>
      </c>
      <c r="J153" t="inlineStr">
        <is>
          <t>Debit Card</t>
        </is>
      </c>
      <c r="K153" t="inlineStr">
        <is>
          <t>West</t>
        </is>
      </c>
      <c r="L153" t="inlineStr">
        <is>
          <t>Basic</t>
        </is>
      </c>
      <c r="M153" s="4" t="n">
        <v>44396</v>
      </c>
      <c r="N153" s="5" t="n">
        <v>149.99</v>
      </c>
    </row>
    <row r="154">
      <c r="A154" t="inlineStr">
        <is>
          <t>TRX0153</t>
        </is>
      </c>
      <c r="B154" s="4" t="n">
        <v>45616</v>
      </c>
      <c r="C154" t="inlineStr">
        <is>
          <t>CUST017</t>
        </is>
      </c>
      <c r="D154" t="inlineStr">
        <is>
          <t>Charles Allen</t>
        </is>
      </c>
      <c r="E154" t="inlineStr">
        <is>
          <t>P009</t>
        </is>
      </c>
      <c r="F154" t="inlineStr">
        <is>
          <t>Monitor</t>
        </is>
      </c>
      <c r="G154" t="inlineStr">
        <is>
          <t>Electronics</t>
        </is>
      </c>
      <c r="H154" t="n">
        <v>2</v>
      </c>
      <c r="I154" s="5" t="n">
        <v>249.99</v>
      </c>
      <c r="J154" t="inlineStr">
        <is>
          <t>PayPal</t>
        </is>
      </c>
      <c r="K154" t="inlineStr">
        <is>
          <t>East</t>
        </is>
      </c>
      <c r="L154" t="inlineStr">
        <is>
          <t>Premium</t>
        </is>
      </c>
      <c r="M154" s="4" t="n">
        <v>45303</v>
      </c>
      <c r="N154" s="5" t="n">
        <v>499.98</v>
      </c>
    </row>
    <row r="155">
      <c r="A155" t="inlineStr">
        <is>
          <t>TRX0154</t>
        </is>
      </c>
      <c r="B155" s="4" t="n">
        <v>45617</v>
      </c>
      <c r="C155" t="inlineStr">
        <is>
          <t>CUST028</t>
        </is>
      </c>
      <c r="D155" t="inlineStr">
        <is>
          <t>Betty Campbell</t>
        </is>
      </c>
      <c r="E155" t="inlineStr">
        <is>
          <t>P010</t>
        </is>
      </c>
      <c r="F155" t="inlineStr">
        <is>
          <t>Keyboard</t>
        </is>
      </c>
      <c r="G155" t="inlineStr">
        <is>
          <t>Electronics</t>
        </is>
      </c>
      <c r="H155" t="n">
        <v>2</v>
      </c>
      <c r="I155" s="5" t="n">
        <v>89.98999999999999</v>
      </c>
      <c r="J155" t="inlineStr">
        <is>
          <t>Cash</t>
        </is>
      </c>
      <c r="K155" t="inlineStr">
        <is>
          <t>West</t>
        </is>
      </c>
      <c r="L155" t="inlineStr">
        <is>
          <t>Premium</t>
        </is>
      </c>
      <c r="M155" s="4" t="n">
        <v>45032</v>
      </c>
      <c r="N155" s="5" t="n">
        <v>179.98</v>
      </c>
    </row>
    <row r="156">
      <c r="A156" t="inlineStr">
        <is>
          <t>TRX0155</t>
        </is>
      </c>
      <c r="B156" s="4" t="n">
        <v>45617</v>
      </c>
      <c r="C156" t="inlineStr">
        <is>
          <t>CUST019</t>
        </is>
      </c>
      <c r="D156" t="inlineStr">
        <is>
          <t>Daniel King</t>
        </is>
      </c>
      <c r="E156" t="inlineStr">
        <is>
          <t>P001</t>
        </is>
      </c>
      <c r="F156" t="inlineStr">
        <is>
          <t>Laptop</t>
        </is>
      </c>
      <c r="G156" t="inlineStr">
        <is>
          <t>Electronics</t>
        </is>
      </c>
      <c r="H156" t="n">
        <v>3</v>
      </c>
      <c r="I156" s="5" t="n">
        <v>899.99</v>
      </c>
      <c r="J156" t="inlineStr">
        <is>
          <t>PayPal</t>
        </is>
      </c>
      <c r="K156" t="inlineStr">
        <is>
          <t>West</t>
        </is>
      </c>
      <c r="L156" t="inlineStr">
        <is>
          <t>Basic</t>
        </is>
      </c>
      <c r="M156" s="4" t="n">
        <v>44939</v>
      </c>
      <c r="N156" s="5" t="n">
        <v>2699.97</v>
      </c>
    </row>
    <row r="157">
      <c r="A157" t="inlineStr">
        <is>
          <t>TRX0156</t>
        </is>
      </c>
      <c r="B157" s="4" t="n">
        <v>45619</v>
      </c>
      <c r="C157" t="inlineStr">
        <is>
          <t>CUST008</t>
        </is>
      </c>
      <c r="D157" t="inlineStr">
        <is>
          <t>Jennifer Taylor</t>
        </is>
      </c>
      <c r="E157" t="inlineStr">
        <is>
          <t>P006</t>
        </is>
      </c>
      <c r="F157" t="inlineStr">
        <is>
          <t>Office Chair</t>
        </is>
      </c>
      <c r="G157" t="inlineStr">
        <is>
          <t>Furniture</t>
        </is>
      </c>
      <c r="H157" t="n">
        <v>5</v>
      </c>
      <c r="I157" s="5" t="n">
        <v>199.99</v>
      </c>
      <c r="J157" t="inlineStr">
        <is>
          <t>Cash</t>
        </is>
      </c>
      <c r="K157" t="inlineStr">
        <is>
          <t>West</t>
        </is>
      </c>
      <c r="L157" t="inlineStr">
        <is>
          <t>Standard</t>
        </is>
      </c>
      <c r="M157" s="4" t="n">
        <v>44585</v>
      </c>
      <c r="N157" s="5" t="n">
        <v>999.95</v>
      </c>
    </row>
    <row r="158">
      <c r="A158" t="inlineStr">
        <is>
          <t>TRX0157</t>
        </is>
      </c>
      <c r="B158" s="4" t="n">
        <v>45620</v>
      </c>
      <c r="C158" t="inlineStr">
        <is>
          <t>CUST009</t>
        </is>
      </c>
      <c r="D158" t="inlineStr">
        <is>
          <t>Robert Thomas</t>
        </is>
      </c>
      <c r="E158" t="inlineStr">
        <is>
          <t>P008</t>
        </is>
      </c>
      <c r="F158" t="inlineStr">
        <is>
          <t>Bookshelf</t>
        </is>
      </c>
      <c r="G158" t="inlineStr">
        <is>
          <t>Furniture</t>
        </is>
      </c>
      <c r="H158" t="n">
        <v>1</v>
      </c>
      <c r="I158" s="5" t="n">
        <v>149.99</v>
      </c>
      <c r="J158" t="inlineStr">
        <is>
          <t>Cash</t>
        </is>
      </c>
      <c r="K158" t="inlineStr">
        <is>
          <t>North</t>
        </is>
      </c>
      <c r="L158" t="inlineStr">
        <is>
          <t>Standard</t>
        </is>
      </c>
      <c r="M158" s="4" t="n">
        <v>44695</v>
      </c>
      <c r="N158" s="5" t="n">
        <v>149.99</v>
      </c>
    </row>
    <row r="159">
      <c r="A159" t="inlineStr">
        <is>
          <t>TRX0158</t>
        </is>
      </c>
      <c r="B159" s="4" t="n">
        <v>45620</v>
      </c>
      <c r="C159" t="inlineStr">
        <is>
          <t>CUST010</t>
        </is>
      </c>
      <c r="D159" t="inlineStr">
        <is>
          <t>Maria Garcia</t>
        </is>
      </c>
      <c r="E159" t="inlineStr">
        <is>
          <t>P010</t>
        </is>
      </c>
      <c r="F159" t="inlineStr">
        <is>
          <t>Keyboard</t>
        </is>
      </c>
      <c r="G159" t="inlineStr">
        <is>
          <t>Electronics</t>
        </is>
      </c>
      <c r="H159" t="n">
        <v>2</v>
      </c>
      <c r="I159" s="5" t="n">
        <v>89.98999999999999</v>
      </c>
      <c r="J159" t="inlineStr">
        <is>
          <t>Credit Card</t>
        </is>
      </c>
      <c r="K159" t="inlineStr">
        <is>
          <t>Central</t>
        </is>
      </c>
      <c r="L159" t="inlineStr">
        <is>
          <t>Basic</t>
        </is>
      </c>
      <c r="M159" s="4" t="n">
        <v>44674</v>
      </c>
      <c r="N159" s="5" t="n">
        <v>179.98</v>
      </c>
    </row>
    <row r="160">
      <c r="A160" t="inlineStr">
        <is>
          <t>TRX0159</t>
        </is>
      </c>
      <c r="B160" s="4" t="n">
        <v>45622</v>
      </c>
      <c r="C160" t="inlineStr">
        <is>
          <t>CUST023</t>
        </is>
      </c>
      <c r="D160" t="inlineStr">
        <is>
          <t>Paul Baker</t>
        </is>
      </c>
      <c r="E160" t="inlineStr">
        <is>
          <t>P003</t>
        </is>
      </c>
      <c r="F160" t="inlineStr">
        <is>
          <t>Headphones</t>
        </is>
      </c>
      <c r="G160" t="inlineStr">
        <is>
          <t>Electronics</t>
        </is>
      </c>
      <c r="H160" t="n">
        <v>5</v>
      </c>
      <c r="I160" s="5" t="n">
        <v>149.99</v>
      </c>
      <c r="J160" t="inlineStr">
        <is>
          <t>Debit Card</t>
        </is>
      </c>
      <c r="K160" t="inlineStr">
        <is>
          <t>South</t>
        </is>
      </c>
      <c r="L160" t="inlineStr">
        <is>
          <t>Basic</t>
        </is>
      </c>
      <c r="M160" s="4" t="n">
        <v>45303</v>
      </c>
      <c r="N160" s="5" t="n">
        <v>749.95</v>
      </c>
    </row>
    <row r="161">
      <c r="A161" t="inlineStr">
        <is>
          <t>TRX0160</t>
        </is>
      </c>
      <c r="B161" s="4" t="n">
        <v>45623</v>
      </c>
      <c r="C161" t="inlineStr">
        <is>
          <t>CUST018</t>
        </is>
      </c>
      <c r="D161" t="inlineStr">
        <is>
          <t>Barbara Young</t>
        </is>
      </c>
      <c r="E161" t="inlineStr">
        <is>
          <t>P003</t>
        </is>
      </c>
      <c r="F161" t="inlineStr">
        <is>
          <t>Headphones</t>
        </is>
      </c>
      <c r="G161" t="inlineStr">
        <is>
          <t>Electronics</t>
        </is>
      </c>
      <c r="H161" t="n">
        <v>1</v>
      </c>
      <c r="I161" s="5" t="n">
        <v>149.99</v>
      </c>
      <c r="J161" t="inlineStr">
        <is>
          <t>Credit Card</t>
        </is>
      </c>
      <c r="K161" t="inlineStr">
        <is>
          <t>North</t>
        </is>
      </c>
      <c r="L161" t="inlineStr">
        <is>
          <t>Standard</t>
        </is>
      </c>
      <c r="M161" s="4" t="n">
        <v>44684</v>
      </c>
      <c r="N161" s="5" t="n">
        <v>149.99</v>
      </c>
    </row>
    <row r="162">
      <c r="A162" t="inlineStr">
        <is>
          <t>TRX0161</t>
        </is>
      </c>
      <c r="B162" s="4" t="n">
        <v>45626</v>
      </c>
      <c r="C162" t="inlineStr">
        <is>
          <t>CUST040</t>
        </is>
      </c>
      <c r="D162" t="inlineStr">
        <is>
          <t>Sharon Butler</t>
        </is>
      </c>
      <c r="E162" t="inlineStr">
        <is>
          <t>P006</t>
        </is>
      </c>
      <c r="F162" t="inlineStr">
        <is>
          <t>Office Chair</t>
        </is>
      </c>
      <c r="G162" t="inlineStr">
        <is>
          <t>Furniture</t>
        </is>
      </c>
      <c r="H162" t="n">
        <v>1</v>
      </c>
      <c r="I162" s="5" t="n">
        <v>199.99</v>
      </c>
      <c r="J162" t="inlineStr">
        <is>
          <t>Debit Card</t>
        </is>
      </c>
      <c r="K162" t="inlineStr">
        <is>
          <t>North</t>
        </is>
      </c>
      <c r="L162" t="inlineStr">
        <is>
          <t>Basic</t>
        </is>
      </c>
      <c r="M162" s="4" t="n">
        <v>45059</v>
      </c>
      <c r="N162" s="5" t="n">
        <v>199.99</v>
      </c>
    </row>
    <row r="163">
      <c r="A163" t="inlineStr">
        <is>
          <t>TRX0162</t>
        </is>
      </c>
      <c r="B163" s="4" t="n">
        <v>45629</v>
      </c>
      <c r="C163" t="inlineStr">
        <is>
          <t>CUST035</t>
        </is>
      </c>
      <c r="D163" t="inlineStr">
        <is>
          <t>Harry Morgan</t>
        </is>
      </c>
      <c r="E163" t="inlineStr">
        <is>
          <t>P002</t>
        </is>
      </c>
      <c r="F163" t="inlineStr">
        <is>
          <t>Smartphone</t>
        </is>
      </c>
      <c r="G163" t="inlineStr">
        <is>
          <t>Electronics</t>
        </is>
      </c>
      <c r="H163" t="n">
        <v>1</v>
      </c>
      <c r="I163" s="5" t="n">
        <v>699.99</v>
      </c>
      <c r="J163" t="inlineStr">
        <is>
          <t>PayPal</t>
        </is>
      </c>
      <c r="K163" t="inlineStr">
        <is>
          <t>East</t>
        </is>
      </c>
      <c r="L163" t="inlineStr">
        <is>
          <t>Premium</t>
        </is>
      </c>
      <c r="M163" s="4" t="n">
        <v>44420</v>
      </c>
      <c r="N163" s="5" t="n">
        <v>699.99</v>
      </c>
    </row>
    <row r="164">
      <c r="A164" t="inlineStr">
        <is>
          <t>TRX0163</t>
        </is>
      </c>
      <c r="B164" s="4" t="n">
        <v>45631</v>
      </c>
      <c r="C164" t="inlineStr">
        <is>
          <t>CUST030</t>
        </is>
      </c>
      <c r="D164" t="inlineStr">
        <is>
          <t>Helen Roberts</t>
        </is>
      </c>
      <c r="E164" t="inlineStr">
        <is>
          <t>P009</t>
        </is>
      </c>
      <c r="F164" t="inlineStr">
        <is>
          <t>Monitor</t>
        </is>
      </c>
      <c r="G164" t="inlineStr">
        <is>
          <t>Electronics</t>
        </is>
      </c>
      <c r="H164" t="n">
        <v>2</v>
      </c>
      <c r="I164" s="5" t="n">
        <v>249.99</v>
      </c>
      <c r="J164" t="inlineStr">
        <is>
          <t>Cash</t>
        </is>
      </c>
      <c r="K164" t="inlineStr">
        <is>
          <t>Central</t>
        </is>
      </c>
      <c r="L164" t="inlineStr">
        <is>
          <t>Standard</t>
        </is>
      </c>
      <c r="M164" s="4" t="n">
        <v>45135</v>
      </c>
      <c r="N164" s="5" t="n">
        <v>499.98</v>
      </c>
    </row>
    <row r="165">
      <c r="A165" t="inlineStr">
        <is>
          <t>TRX0164</t>
        </is>
      </c>
      <c r="B165" s="4" t="n">
        <v>45632</v>
      </c>
      <c r="C165" t="inlineStr">
        <is>
          <t>CUST045</t>
        </is>
      </c>
      <c r="D165" t="inlineStr">
        <is>
          <t>Douglas Watson</t>
        </is>
      </c>
      <c r="E165" t="inlineStr">
        <is>
          <t>P001</t>
        </is>
      </c>
      <c r="F165" t="inlineStr">
        <is>
          <t>Laptop</t>
        </is>
      </c>
      <c r="G165" t="inlineStr">
        <is>
          <t>Electronics</t>
        </is>
      </c>
      <c r="H165" t="n">
        <v>1</v>
      </c>
      <c r="I165" s="5" t="n">
        <v>899.99</v>
      </c>
      <c r="J165" t="inlineStr">
        <is>
          <t>PayPal</t>
        </is>
      </c>
      <c r="K165" t="inlineStr">
        <is>
          <t>West</t>
        </is>
      </c>
      <c r="L165" t="inlineStr">
        <is>
          <t>Premium</t>
        </is>
      </c>
      <c r="M165" s="4" t="n">
        <v>44418</v>
      </c>
      <c r="N165" s="5" t="n">
        <v>899.99</v>
      </c>
    </row>
    <row r="166">
      <c r="A166" t="inlineStr">
        <is>
          <t>TRX0165</t>
        </is>
      </c>
      <c r="B166" s="4" t="n">
        <v>45630</v>
      </c>
      <c r="C166" t="inlineStr">
        <is>
          <t>CUST033</t>
        </is>
      </c>
      <c r="D166" t="inlineStr">
        <is>
          <t>Frank Torres</t>
        </is>
      </c>
      <c r="E166" t="inlineStr">
        <is>
          <t>P008</t>
        </is>
      </c>
      <c r="F166" t="inlineStr">
        <is>
          <t>Bookshelf</t>
        </is>
      </c>
      <c r="G166" t="inlineStr">
        <is>
          <t>Furniture</t>
        </is>
      </c>
      <c r="H166" t="n">
        <v>1</v>
      </c>
      <c r="I166" s="5" t="n">
        <v>149.99</v>
      </c>
      <c r="J166" t="inlineStr">
        <is>
          <t>Debit Card</t>
        </is>
      </c>
      <c r="K166" t="inlineStr">
        <is>
          <t>Central</t>
        </is>
      </c>
      <c r="L166" t="inlineStr">
        <is>
          <t>Basic</t>
        </is>
      </c>
      <c r="M166" s="4" t="n">
        <v>44331</v>
      </c>
      <c r="N166" s="5" t="n">
        <v>149.99</v>
      </c>
    </row>
    <row r="167">
      <c r="A167" t="inlineStr">
        <is>
          <t>TRX0166</t>
        </is>
      </c>
      <c r="B167" s="4" t="n">
        <v>45636</v>
      </c>
      <c r="C167" t="inlineStr">
        <is>
          <t>CUST010</t>
        </is>
      </c>
      <c r="D167" t="inlineStr">
        <is>
          <t>Maria Garcia</t>
        </is>
      </c>
      <c r="E167" t="inlineStr">
        <is>
          <t>P005</t>
        </is>
      </c>
      <c r="F167" t="inlineStr">
        <is>
          <t>Blender</t>
        </is>
      </c>
      <c r="G167" t="inlineStr">
        <is>
          <t>Appliances</t>
        </is>
      </c>
      <c r="H167" t="n">
        <v>5</v>
      </c>
      <c r="I167" s="5" t="n">
        <v>59.99</v>
      </c>
      <c r="J167" t="inlineStr">
        <is>
          <t>Debit Card</t>
        </is>
      </c>
      <c r="K167" t="inlineStr">
        <is>
          <t>West</t>
        </is>
      </c>
      <c r="L167" t="inlineStr">
        <is>
          <t>Premium</t>
        </is>
      </c>
      <c r="M167" s="4" t="n">
        <v>45283</v>
      </c>
      <c r="N167" s="5" t="n">
        <v>299.95</v>
      </c>
    </row>
    <row r="168">
      <c r="A168" t="inlineStr">
        <is>
          <t>TRX0167</t>
        </is>
      </c>
      <c r="B168" s="4" t="n">
        <v>45637</v>
      </c>
      <c r="C168" t="inlineStr">
        <is>
          <t>CUST020</t>
        </is>
      </c>
      <c r="D168" t="inlineStr">
        <is>
          <t>Margaret Wright</t>
        </is>
      </c>
      <c r="E168" t="inlineStr">
        <is>
          <t>P008</t>
        </is>
      </c>
      <c r="F168" t="inlineStr">
        <is>
          <t>Bookshelf</t>
        </is>
      </c>
      <c r="G168" t="inlineStr">
        <is>
          <t>Furniture</t>
        </is>
      </c>
      <c r="H168" t="n">
        <v>5</v>
      </c>
      <c r="I168" s="5" t="n">
        <v>149.99</v>
      </c>
      <c r="J168" t="inlineStr">
        <is>
          <t>PayPal</t>
        </is>
      </c>
      <c r="K168" t="inlineStr">
        <is>
          <t>North</t>
        </is>
      </c>
      <c r="L168" t="inlineStr">
        <is>
          <t>Premium</t>
        </is>
      </c>
      <c r="M168" s="4" t="n">
        <v>44431</v>
      </c>
      <c r="N168" s="5" t="n">
        <v>749.95</v>
      </c>
    </row>
    <row r="169">
      <c r="A169" t="inlineStr">
        <is>
          <t>TRX0168</t>
        </is>
      </c>
      <c r="B169" s="4" t="n">
        <v>45638</v>
      </c>
      <c r="C169" t="inlineStr">
        <is>
          <t>CUST045</t>
        </is>
      </c>
      <c r="D169" t="inlineStr">
        <is>
          <t>Douglas Watson</t>
        </is>
      </c>
      <c r="E169" t="inlineStr">
        <is>
          <t>P009</t>
        </is>
      </c>
      <c r="F169" t="inlineStr">
        <is>
          <t>Monitor</t>
        </is>
      </c>
      <c r="G169" t="inlineStr">
        <is>
          <t>Electronics</t>
        </is>
      </c>
      <c r="H169" t="n">
        <v>2</v>
      </c>
      <c r="I169" s="5" t="n">
        <v>249.99</v>
      </c>
      <c r="J169" t="inlineStr">
        <is>
          <t>PayPal</t>
        </is>
      </c>
      <c r="K169" t="inlineStr">
        <is>
          <t>South</t>
        </is>
      </c>
      <c r="L169" t="inlineStr">
        <is>
          <t>Standard</t>
        </is>
      </c>
      <c r="M169" s="4" t="n">
        <v>44891</v>
      </c>
      <c r="N169" s="5" t="n">
        <v>499.98</v>
      </c>
    </row>
    <row r="170">
      <c r="A170" t="inlineStr">
        <is>
          <t>TRX0169</t>
        </is>
      </c>
      <c r="B170" s="4" t="n">
        <v>45636</v>
      </c>
      <c r="C170" t="inlineStr">
        <is>
          <t>CUST031</t>
        </is>
      </c>
      <c r="D170" t="inlineStr">
        <is>
          <t>Steven Turner</t>
        </is>
      </c>
      <c r="E170" t="inlineStr">
        <is>
          <t>P007</t>
        </is>
      </c>
      <c r="F170" t="inlineStr">
        <is>
          <t>Desk</t>
        </is>
      </c>
      <c r="G170" t="inlineStr">
        <is>
          <t>Furniture</t>
        </is>
      </c>
      <c r="H170" t="n">
        <v>4</v>
      </c>
      <c r="I170" s="5" t="n">
        <v>299.99</v>
      </c>
      <c r="J170" t="inlineStr">
        <is>
          <t>Debit Card</t>
        </is>
      </c>
      <c r="K170" t="inlineStr">
        <is>
          <t>West</t>
        </is>
      </c>
      <c r="L170" t="inlineStr">
        <is>
          <t>Standard</t>
        </is>
      </c>
      <c r="M170" s="4" t="n">
        <v>44719</v>
      </c>
      <c r="N170" s="5" t="n">
        <v>1199.96</v>
      </c>
    </row>
    <row r="171">
      <c r="A171" t="inlineStr">
        <is>
          <t>TRX0170</t>
        </is>
      </c>
      <c r="B171" s="4" t="n">
        <v>45638</v>
      </c>
      <c r="C171" t="inlineStr">
        <is>
          <t>CUST025</t>
        </is>
      </c>
      <c r="D171" t="inlineStr">
        <is>
          <t>Mark Carter</t>
        </is>
      </c>
      <c r="E171" t="inlineStr">
        <is>
          <t>P003</t>
        </is>
      </c>
      <c r="F171" t="inlineStr">
        <is>
          <t>Headphones</t>
        </is>
      </c>
      <c r="G171" t="inlineStr">
        <is>
          <t>Electronics</t>
        </is>
      </c>
      <c r="H171" t="n">
        <v>4</v>
      </c>
      <c r="I171" s="5" t="n">
        <v>149.99</v>
      </c>
      <c r="J171" t="inlineStr">
        <is>
          <t>Cash</t>
        </is>
      </c>
      <c r="K171" t="inlineStr">
        <is>
          <t>North</t>
        </is>
      </c>
      <c r="L171" t="inlineStr">
        <is>
          <t>Basic</t>
        </is>
      </c>
      <c r="M171" s="4" t="n">
        <v>45081</v>
      </c>
      <c r="N171" s="5" t="n">
        <v>599.96</v>
      </c>
    </row>
    <row r="172">
      <c r="A172" t="inlineStr">
        <is>
          <t>TRX0171</t>
        </is>
      </c>
      <c r="B172" s="4" t="n">
        <v>45643</v>
      </c>
      <c r="C172" t="inlineStr">
        <is>
          <t>CUST008</t>
        </is>
      </c>
      <c r="D172" t="inlineStr">
        <is>
          <t>Jennifer Taylor</t>
        </is>
      </c>
      <c r="E172" t="inlineStr">
        <is>
          <t>P006</t>
        </is>
      </c>
      <c r="F172" t="inlineStr">
        <is>
          <t>Office Chair</t>
        </is>
      </c>
      <c r="G172" t="inlineStr">
        <is>
          <t>Furniture</t>
        </is>
      </c>
      <c r="H172" t="n">
        <v>2</v>
      </c>
      <c r="I172" s="5" t="n">
        <v>199.99</v>
      </c>
      <c r="J172" t="inlineStr">
        <is>
          <t>Cash</t>
        </is>
      </c>
      <c r="K172" t="inlineStr">
        <is>
          <t>Central</t>
        </is>
      </c>
      <c r="L172" t="inlineStr">
        <is>
          <t>Premium</t>
        </is>
      </c>
      <c r="M172" s="4" t="n">
        <v>45347</v>
      </c>
      <c r="N172" s="5" t="n">
        <v>399.98</v>
      </c>
    </row>
    <row r="173">
      <c r="A173" t="inlineStr">
        <is>
          <t>TRX0172</t>
        </is>
      </c>
      <c r="B173" s="4" t="n">
        <v>45642</v>
      </c>
      <c r="C173" t="inlineStr">
        <is>
          <t>CUST023</t>
        </is>
      </c>
      <c r="D173" t="inlineStr">
        <is>
          <t>Paul Baker</t>
        </is>
      </c>
      <c r="E173" t="inlineStr">
        <is>
          <t>P002</t>
        </is>
      </c>
      <c r="F173" t="inlineStr">
        <is>
          <t>Smartphone</t>
        </is>
      </c>
      <c r="G173" t="inlineStr">
        <is>
          <t>Electronics</t>
        </is>
      </c>
      <c r="H173" t="n">
        <v>4</v>
      </c>
      <c r="I173" s="5" t="n">
        <v>699.99</v>
      </c>
      <c r="J173" t="inlineStr">
        <is>
          <t>PayPal</t>
        </is>
      </c>
      <c r="K173" t="inlineStr">
        <is>
          <t>North</t>
        </is>
      </c>
      <c r="L173" t="inlineStr">
        <is>
          <t>Standard</t>
        </is>
      </c>
      <c r="M173" s="4" t="n">
        <v>44836</v>
      </c>
      <c r="N173" s="5" t="n">
        <v>2799.96</v>
      </c>
    </row>
    <row r="174">
      <c r="A174" t="inlineStr">
        <is>
          <t>TRX0173</t>
        </is>
      </c>
      <c r="B174" s="4" t="n">
        <v>45646</v>
      </c>
      <c r="C174" t="inlineStr">
        <is>
          <t>CUST024</t>
        </is>
      </c>
      <c r="D174" t="inlineStr">
        <is>
          <t>Dorothy Nelson</t>
        </is>
      </c>
      <c r="E174" t="inlineStr">
        <is>
          <t>P002</t>
        </is>
      </c>
      <c r="F174" t="inlineStr">
        <is>
          <t>Smartphone</t>
        </is>
      </c>
      <c r="G174" t="inlineStr">
        <is>
          <t>Electronics</t>
        </is>
      </c>
      <c r="H174" t="n">
        <v>5</v>
      </c>
      <c r="I174" s="5" t="n">
        <v>699.99</v>
      </c>
      <c r="J174" t="inlineStr">
        <is>
          <t>Credit Card</t>
        </is>
      </c>
      <c r="K174" t="inlineStr">
        <is>
          <t>South</t>
        </is>
      </c>
      <c r="L174" t="inlineStr">
        <is>
          <t>Premium</t>
        </is>
      </c>
      <c r="M174" s="4" t="n">
        <v>45184</v>
      </c>
      <c r="N174" s="5" t="n">
        <v>3499.95</v>
      </c>
    </row>
    <row r="175">
      <c r="A175" t="inlineStr">
        <is>
          <t>TRX0174</t>
        </is>
      </c>
      <c r="B175" s="4" t="n">
        <v>45647</v>
      </c>
      <c r="C175" t="inlineStr">
        <is>
          <t>CUST016</t>
        </is>
      </c>
      <c r="D175" t="inlineStr">
        <is>
          <t>Elizabeth Hall</t>
        </is>
      </c>
      <c r="E175" t="inlineStr">
        <is>
          <t>P002</t>
        </is>
      </c>
      <c r="F175" t="inlineStr">
        <is>
          <t>Smartphone</t>
        </is>
      </c>
      <c r="G175" t="inlineStr">
        <is>
          <t>Electronics</t>
        </is>
      </c>
      <c r="H175" t="n">
        <v>3</v>
      </c>
      <c r="I175" s="5" t="n">
        <v>699.99</v>
      </c>
      <c r="J175" t="inlineStr">
        <is>
          <t>Debit Card</t>
        </is>
      </c>
      <c r="K175" t="inlineStr">
        <is>
          <t>North</t>
        </is>
      </c>
      <c r="L175" t="inlineStr">
        <is>
          <t>Standard</t>
        </is>
      </c>
      <c r="M175" s="4" t="n">
        <v>45372</v>
      </c>
      <c r="N175" s="5" t="n">
        <v>2099.97</v>
      </c>
    </row>
    <row r="176">
      <c r="A176" t="inlineStr">
        <is>
          <t>TRX0175</t>
        </is>
      </c>
      <c r="B176" s="4" t="n">
        <v>45649</v>
      </c>
      <c r="C176" t="inlineStr">
        <is>
          <t>CUST016</t>
        </is>
      </c>
      <c r="D176" t="inlineStr">
        <is>
          <t>Elizabeth Hall</t>
        </is>
      </c>
      <c r="E176" t="inlineStr">
        <is>
          <t>P007</t>
        </is>
      </c>
      <c r="F176" t="inlineStr">
        <is>
          <t>Desk</t>
        </is>
      </c>
      <c r="G176" t="inlineStr">
        <is>
          <t>Furniture</t>
        </is>
      </c>
      <c r="H176" t="n">
        <v>5</v>
      </c>
      <c r="I176" s="5" t="n">
        <v>299.99</v>
      </c>
      <c r="J176" t="inlineStr">
        <is>
          <t>Cash</t>
        </is>
      </c>
      <c r="K176" t="inlineStr">
        <is>
          <t>Central</t>
        </is>
      </c>
      <c r="L176" t="inlineStr">
        <is>
          <t>Premium</t>
        </is>
      </c>
      <c r="M176" s="4" t="n">
        <v>44744</v>
      </c>
      <c r="N176" s="5" t="n">
        <v>1499.95</v>
      </c>
    </row>
    <row r="177">
      <c r="A177" t="inlineStr">
        <is>
          <t>TRX0176</t>
        </is>
      </c>
      <c r="B177" s="4" t="n">
        <v>45648</v>
      </c>
      <c r="C177" t="inlineStr">
        <is>
          <t>CUST002</t>
        </is>
      </c>
      <c r="D177" t="inlineStr">
        <is>
          <t>Emma Wilson</t>
        </is>
      </c>
      <c r="E177" t="inlineStr">
        <is>
          <t>P003</t>
        </is>
      </c>
      <c r="F177" t="inlineStr">
        <is>
          <t>Headphones</t>
        </is>
      </c>
      <c r="G177" t="inlineStr">
        <is>
          <t>Electronics</t>
        </is>
      </c>
      <c r="H177" t="n">
        <v>3</v>
      </c>
      <c r="I177" s="5" t="n">
        <v>149.99</v>
      </c>
      <c r="J177" t="inlineStr">
        <is>
          <t>Debit Card</t>
        </is>
      </c>
      <c r="K177" t="inlineStr">
        <is>
          <t>East</t>
        </is>
      </c>
      <c r="L177" t="inlineStr">
        <is>
          <t>Basic</t>
        </is>
      </c>
      <c r="M177" s="4" t="n">
        <v>44568</v>
      </c>
      <c r="N177" s="5" t="n">
        <v>449.97</v>
      </c>
    </row>
    <row r="178">
      <c r="A178" t="inlineStr">
        <is>
          <t>TRX0177</t>
        </is>
      </c>
      <c r="B178" s="4" t="n">
        <v>45648</v>
      </c>
      <c r="C178" t="inlineStr">
        <is>
          <t>CUST011</t>
        </is>
      </c>
      <c r="D178" t="inlineStr">
        <is>
          <t>William White</t>
        </is>
      </c>
      <c r="E178" t="inlineStr">
        <is>
          <t>P010</t>
        </is>
      </c>
      <c r="F178" t="inlineStr">
        <is>
          <t>Keyboard</t>
        </is>
      </c>
      <c r="G178" t="inlineStr">
        <is>
          <t>Electronics</t>
        </is>
      </c>
      <c r="H178" t="n">
        <v>4</v>
      </c>
      <c r="I178" s="5" t="n">
        <v>89.98999999999999</v>
      </c>
      <c r="J178" t="inlineStr">
        <is>
          <t>Credit Card</t>
        </is>
      </c>
      <c r="K178" t="inlineStr">
        <is>
          <t>North</t>
        </is>
      </c>
      <c r="L178" t="inlineStr">
        <is>
          <t>Basic</t>
        </is>
      </c>
      <c r="M178" s="4" t="n">
        <v>45283</v>
      </c>
      <c r="N178" s="5" t="n">
        <v>359.96</v>
      </c>
    </row>
    <row r="179">
      <c r="A179" t="inlineStr">
        <is>
          <t>TRX0178</t>
        </is>
      </c>
      <c r="B179" s="4" t="n">
        <v>45652</v>
      </c>
      <c r="C179" t="inlineStr">
        <is>
          <t>CUST015</t>
        </is>
      </c>
      <c r="D179" t="inlineStr">
        <is>
          <t>Richard Lee</t>
        </is>
      </c>
      <c r="E179" t="inlineStr">
        <is>
          <t>P007</t>
        </is>
      </c>
      <c r="F179" t="inlineStr">
        <is>
          <t>Desk</t>
        </is>
      </c>
      <c r="G179" t="inlineStr">
        <is>
          <t>Furniture</t>
        </is>
      </c>
      <c r="H179" t="n">
        <v>4</v>
      </c>
      <c r="I179" s="5" t="n">
        <v>299.99</v>
      </c>
      <c r="J179" t="inlineStr">
        <is>
          <t>Debit Card</t>
        </is>
      </c>
      <c r="K179" t="inlineStr">
        <is>
          <t>South</t>
        </is>
      </c>
      <c r="L179" t="inlineStr">
        <is>
          <t>Standard</t>
        </is>
      </c>
      <c r="M179" s="4" t="n">
        <v>44835</v>
      </c>
      <c r="N179" s="5" t="n">
        <v>1199.96</v>
      </c>
    </row>
    <row r="180">
      <c r="A180" t="inlineStr">
        <is>
          <t>TRX0179</t>
        </is>
      </c>
      <c r="B180" s="4" t="n">
        <v>45651</v>
      </c>
      <c r="C180" t="inlineStr">
        <is>
          <t>CUST022</t>
        </is>
      </c>
      <c r="D180" t="inlineStr">
        <is>
          <t>Susan Green</t>
        </is>
      </c>
      <c r="E180" t="inlineStr">
        <is>
          <t>P010</t>
        </is>
      </c>
      <c r="F180" t="inlineStr">
        <is>
          <t>Keyboard</t>
        </is>
      </c>
      <c r="G180" t="inlineStr">
        <is>
          <t>Electronics</t>
        </is>
      </c>
      <c r="H180" t="n">
        <v>5</v>
      </c>
      <c r="I180" s="5" t="n">
        <v>89.98999999999999</v>
      </c>
      <c r="J180" t="inlineStr">
        <is>
          <t>Cash</t>
        </is>
      </c>
      <c r="K180" t="inlineStr">
        <is>
          <t>South</t>
        </is>
      </c>
      <c r="L180" t="inlineStr">
        <is>
          <t>Basic</t>
        </is>
      </c>
      <c r="M180" s="4" t="n">
        <v>44298</v>
      </c>
      <c r="N180" s="5" t="n">
        <v>449.95</v>
      </c>
    </row>
    <row r="181">
      <c r="A181" t="inlineStr">
        <is>
          <t>TRX0180</t>
        </is>
      </c>
      <c r="B181" s="4" t="n">
        <v>45655</v>
      </c>
      <c r="C181" t="inlineStr">
        <is>
          <t>CUST047</t>
        </is>
      </c>
      <c r="D181" t="inlineStr">
        <is>
          <t>Gerald Murphy</t>
        </is>
      </c>
      <c r="E181" t="inlineStr">
        <is>
          <t>P002</t>
        </is>
      </c>
      <c r="F181" t="inlineStr">
        <is>
          <t>Smartphone</t>
        </is>
      </c>
      <c r="G181" t="inlineStr">
        <is>
          <t>Electronics</t>
        </is>
      </c>
      <c r="H181" t="n">
        <v>3</v>
      </c>
      <c r="I181" s="5" t="n">
        <v>699.99</v>
      </c>
      <c r="J181" t="inlineStr">
        <is>
          <t>PayPal</t>
        </is>
      </c>
      <c r="K181" t="inlineStr">
        <is>
          <t>West</t>
        </is>
      </c>
      <c r="L181" t="inlineStr">
        <is>
          <t>Premium</t>
        </is>
      </c>
      <c r="M181" s="4" t="n">
        <v>45102</v>
      </c>
      <c r="N181" s="5" t="n">
        <v>2099.97</v>
      </c>
    </row>
    <row r="182">
      <c r="A182" t="inlineStr">
        <is>
          <t>TRX0181</t>
        </is>
      </c>
      <c r="B182" s="4" t="n">
        <v>45658</v>
      </c>
      <c r="C182" t="inlineStr">
        <is>
          <t>CUST028</t>
        </is>
      </c>
      <c r="D182" t="inlineStr">
        <is>
          <t>Betty Campbell</t>
        </is>
      </c>
      <c r="E182" t="inlineStr">
        <is>
          <t>P005</t>
        </is>
      </c>
      <c r="F182" t="inlineStr">
        <is>
          <t>Blender</t>
        </is>
      </c>
      <c r="G182" t="inlineStr">
        <is>
          <t>Appliances</t>
        </is>
      </c>
      <c r="H182" t="n">
        <v>2</v>
      </c>
      <c r="I182" s="5" t="n">
        <v>59.99</v>
      </c>
      <c r="J182" t="inlineStr">
        <is>
          <t>Cash</t>
        </is>
      </c>
      <c r="K182" t="inlineStr">
        <is>
          <t>East</t>
        </is>
      </c>
      <c r="L182" t="inlineStr">
        <is>
          <t>Standard</t>
        </is>
      </c>
      <c r="M182" s="4" t="n">
        <v>44424</v>
      </c>
      <c r="N182" s="5" t="n">
        <v>119.98</v>
      </c>
    </row>
    <row r="183">
      <c r="A183" t="inlineStr">
        <is>
          <t>TRX0182</t>
        </is>
      </c>
      <c r="B183" s="4" t="n">
        <v>45659</v>
      </c>
      <c r="C183" t="inlineStr">
        <is>
          <t>CUST020</t>
        </is>
      </c>
      <c r="D183" t="inlineStr">
        <is>
          <t>Margaret Wright</t>
        </is>
      </c>
      <c r="E183" t="inlineStr">
        <is>
          <t>P010</t>
        </is>
      </c>
      <c r="F183" t="inlineStr">
        <is>
          <t>Keyboard</t>
        </is>
      </c>
      <c r="G183" t="inlineStr">
        <is>
          <t>Electronics</t>
        </is>
      </c>
      <c r="H183" t="n">
        <v>4</v>
      </c>
      <c r="I183" s="5" t="n">
        <v>89.98999999999999</v>
      </c>
      <c r="J183" t="inlineStr">
        <is>
          <t>Debit Card</t>
        </is>
      </c>
      <c r="K183" t="inlineStr">
        <is>
          <t>North</t>
        </is>
      </c>
      <c r="L183" t="inlineStr">
        <is>
          <t>Basic</t>
        </is>
      </c>
      <c r="M183" s="4" t="n">
        <v>45006</v>
      </c>
      <c r="N183" s="5" t="n">
        <v>359.96</v>
      </c>
    </row>
    <row r="184">
      <c r="A184" t="inlineStr">
        <is>
          <t>TRX0183</t>
        </is>
      </c>
      <c r="B184" s="4" t="n">
        <v>45657</v>
      </c>
      <c r="C184" t="inlineStr">
        <is>
          <t>CUST041</t>
        </is>
      </c>
      <c r="D184" t="inlineStr">
        <is>
          <t>Peter Richardson</t>
        </is>
      </c>
      <c r="E184" t="inlineStr">
        <is>
          <t>P001</t>
        </is>
      </c>
      <c r="F184" t="inlineStr">
        <is>
          <t>Laptop</t>
        </is>
      </c>
      <c r="G184" t="inlineStr">
        <is>
          <t>Electronics</t>
        </is>
      </c>
      <c r="H184" t="n">
        <v>1</v>
      </c>
      <c r="I184" s="5" t="n">
        <v>899.99</v>
      </c>
      <c r="J184" t="inlineStr">
        <is>
          <t>Debit Card</t>
        </is>
      </c>
      <c r="K184" t="inlineStr">
        <is>
          <t>South</t>
        </is>
      </c>
      <c r="L184" t="inlineStr">
        <is>
          <t>Basic</t>
        </is>
      </c>
      <c r="M184" s="4" t="n">
        <v>44720</v>
      </c>
      <c r="N184" s="5" t="n">
        <v>899.99</v>
      </c>
    </row>
    <row r="185">
      <c r="A185" t="inlineStr">
        <is>
          <t>TRX0184</t>
        </is>
      </c>
      <c r="B185" s="4" t="n">
        <v>45658</v>
      </c>
      <c r="C185" t="inlineStr">
        <is>
          <t>CUST020</t>
        </is>
      </c>
      <c r="D185" t="inlineStr">
        <is>
          <t>Margaret Wright</t>
        </is>
      </c>
      <c r="E185" t="inlineStr">
        <is>
          <t>P006</t>
        </is>
      </c>
      <c r="F185" t="inlineStr">
        <is>
          <t>Office Chair</t>
        </is>
      </c>
      <c r="G185" t="inlineStr">
        <is>
          <t>Furniture</t>
        </is>
      </c>
      <c r="H185" t="n">
        <v>1</v>
      </c>
      <c r="I185" s="5" t="n">
        <v>199.99</v>
      </c>
      <c r="J185" t="inlineStr">
        <is>
          <t>PayPal</t>
        </is>
      </c>
      <c r="K185" t="inlineStr">
        <is>
          <t>West</t>
        </is>
      </c>
      <c r="L185" t="inlineStr">
        <is>
          <t>Basic</t>
        </is>
      </c>
      <c r="M185" s="4" t="n">
        <v>44461</v>
      </c>
      <c r="N185" s="5" t="n">
        <v>199.99</v>
      </c>
    </row>
    <row r="186">
      <c r="A186" t="inlineStr">
        <is>
          <t>TRX0185</t>
        </is>
      </c>
      <c r="B186" s="4" t="n">
        <v>45663</v>
      </c>
      <c r="C186" t="inlineStr">
        <is>
          <t>CUST026</t>
        </is>
      </c>
      <c r="D186" t="inlineStr">
        <is>
          <t>Karen Hill</t>
        </is>
      </c>
      <c r="E186" t="inlineStr">
        <is>
          <t>P009</t>
        </is>
      </c>
      <c r="F186" t="inlineStr">
        <is>
          <t>Monitor</t>
        </is>
      </c>
      <c r="G186" t="inlineStr">
        <is>
          <t>Electronics</t>
        </is>
      </c>
      <c r="H186" t="n">
        <v>2</v>
      </c>
      <c r="I186" s="5" t="n">
        <v>249.99</v>
      </c>
      <c r="J186" t="inlineStr">
        <is>
          <t>Debit Card</t>
        </is>
      </c>
      <c r="K186" t="inlineStr">
        <is>
          <t>North</t>
        </is>
      </c>
      <c r="L186" t="inlineStr">
        <is>
          <t>Standard</t>
        </is>
      </c>
      <c r="M186" s="4" t="n">
        <v>44283</v>
      </c>
      <c r="N186" s="5" t="n">
        <v>499.98</v>
      </c>
    </row>
    <row r="187">
      <c r="A187" t="inlineStr">
        <is>
          <t>TRX0186</t>
        </is>
      </c>
      <c r="B187" s="4" t="n">
        <v>45661</v>
      </c>
      <c r="C187" t="inlineStr">
        <is>
          <t>CUST029</t>
        </is>
      </c>
      <c r="D187" t="inlineStr">
        <is>
          <t>Edward Mitchell</t>
        </is>
      </c>
      <c r="E187" t="inlineStr">
        <is>
          <t>P001</t>
        </is>
      </c>
      <c r="F187" t="inlineStr">
        <is>
          <t>Laptop</t>
        </is>
      </c>
      <c r="G187" t="inlineStr">
        <is>
          <t>Electronics</t>
        </is>
      </c>
      <c r="H187" t="n">
        <v>4</v>
      </c>
      <c r="I187" s="5" t="n">
        <v>899.99</v>
      </c>
      <c r="J187" t="inlineStr">
        <is>
          <t>Debit Card</t>
        </is>
      </c>
      <c r="K187" t="inlineStr">
        <is>
          <t>Central</t>
        </is>
      </c>
      <c r="L187" t="inlineStr">
        <is>
          <t>Standard</t>
        </is>
      </c>
      <c r="M187" s="4" t="n">
        <v>45371</v>
      </c>
      <c r="N187" s="5" t="n">
        <v>3599.96</v>
      </c>
    </row>
    <row r="188">
      <c r="A188" t="inlineStr">
        <is>
          <t>TRX0187</t>
        </is>
      </c>
      <c r="B188" s="4" t="n">
        <v>45662</v>
      </c>
      <c r="C188" t="inlineStr">
        <is>
          <t>CUST027</t>
        </is>
      </c>
      <c r="D188" t="inlineStr">
        <is>
          <t>George Adams</t>
        </is>
      </c>
      <c r="E188" t="inlineStr">
        <is>
          <t>P007</t>
        </is>
      </c>
      <c r="F188" t="inlineStr">
        <is>
          <t>Desk</t>
        </is>
      </c>
      <c r="G188" t="inlineStr">
        <is>
          <t>Furniture</t>
        </is>
      </c>
      <c r="H188" t="n">
        <v>3</v>
      </c>
      <c r="I188" s="5" t="n">
        <v>299.99</v>
      </c>
      <c r="J188" t="inlineStr">
        <is>
          <t>PayPal</t>
        </is>
      </c>
      <c r="K188" t="inlineStr">
        <is>
          <t>North</t>
        </is>
      </c>
      <c r="L188" t="inlineStr">
        <is>
          <t>Standard</t>
        </is>
      </c>
      <c r="M188" s="4" t="n">
        <v>44548</v>
      </c>
      <c r="N188" s="5" t="n">
        <v>899.97</v>
      </c>
    </row>
    <row r="189">
      <c r="A189" t="inlineStr">
        <is>
          <t>TRX0188</t>
        </is>
      </c>
      <c r="B189" s="4" t="n">
        <v>45664</v>
      </c>
      <c r="C189" t="inlineStr">
        <is>
          <t>CUST043</t>
        </is>
      </c>
      <c r="D189" t="inlineStr">
        <is>
          <t>Dennis Gray</t>
        </is>
      </c>
      <c r="E189" t="inlineStr">
        <is>
          <t>P008</t>
        </is>
      </c>
      <c r="F189" t="inlineStr">
        <is>
          <t>Bookshelf</t>
        </is>
      </c>
      <c r="G189" t="inlineStr">
        <is>
          <t>Furniture</t>
        </is>
      </c>
      <c r="H189" t="n">
        <v>3</v>
      </c>
      <c r="I189" s="5" t="n">
        <v>149.99</v>
      </c>
      <c r="J189" t="inlineStr">
        <is>
          <t>PayPal</t>
        </is>
      </c>
      <c r="K189" t="inlineStr">
        <is>
          <t>North</t>
        </is>
      </c>
      <c r="L189" t="inlineStr">
        <is>
          <t>Basic</t>
        </is>
      </c>
      <c r="M189" s="4" t="n">
        <v>45089</v>
      </c>
      <c r="N189" s="5" t="n">
        <v>449.97</v>
      </c>
    </row>
    <row r="190">
      <c r="A190" t="inlineStr">
        <is>
          <t>TRX0189</t>
        </is>
      </c>
      <c r="B190" s="4" t="n">
        <v>45665</v>
      </c>
      <c r="C190" t="inlineStr">
        <is>
          <t>CUST040</t>
        </is>
      </c>
      <c r="D190" t="inlineStr">
        <is>
          <t>Sharon Butler</t>
        </is>
      </c>
      <c r="E190" t="inlineStr">
        <is>
          <t>P007</t>
        </is>
      </c>
      <c r="F190" t="inlineStr">
        <is>
          <t>Desk</t>
        </is>
      </c>
      <c r="G190" t="inlineStr">
        <is>
          <t>Furniture</t>
        </is>
      </c>
      <c r="H190" t="n">
        <v>5</v>
      </c>
      <c r="I190" s="5" t="n">
        <v>299.99</v>
      </c>
      <c r="J190" t="inlineStr">
        <is>
          <t>PayPal</t>
        </is>
      </c>
      <c r="K190" t="inlineStr">
        <is>
          <t>East</t>
        </is>
      </c>
      <c r="L190" t="inlineStr">
        <is>
          <t>Premium</t>
        </is>
      </c>
      <c r="M190" s="4" t="n">
        <v>44892</v>
      </c>
      <c r="N190" s="5" t="n">
        <v>1499.95</v>
      </c>
    </row>
    <row r="191">
      <c r="A191" t="inlineStr">
        <is>
          <t>TRX0190</t>
        </is>
      </c>
      <c r="B191" s="4" t="n">
        <v>45667</v>
      </c>
      <c r="C191" t="inlineStr">
        <is>
          <t>CUST016</t>
        </is>
      </c>
      <c r="D191" t="inlineStr">
        <is>
          <t>Elizabeth Hall</t>
        </is>
      </c>
      <c r="E191" t="inlineStr">
        <is>
          <t>P006</t>
        </is>
      </c>
      <c r="F191" t="inlineStr">
        <is>
          <t>Office Chair</t>
        </is>
      </c>
      <c r="G191" t="inlineStr">
        <is>
          <t>Furniture</t>
        </is>
      </c>
      <c r="H191" t="n">
        <v>2</v>
      </c>
      <c r="I191" s="5" t="n">
        <v>199.99</v>
      </c>
      <c r="J191" t="inlineStr">
        <is>
          <t>Cash</t>
        </is>
      </c>
      <c r="K191" t="inlineStr">
        <is>
          <t>Central</t>
        </is>
      </c>
      <c r="L191" t="inlineStr">
        <is>
          <t>Premium</t>
        </is>
      </c>
      <c r="M191" s="4" t="n">
        <v>44594</v>
      </c>
      <c r="N191" s="5" t="n">
        <v>399.98</v>
      </c>
    </row>
    <row r="192">
      <c r="A192" t="inlineStr">
        <is>
          <t>TRX0191</t>
        </is>
      </c>
      <c r="B192" s="4" t="n">
        <v>45669</v>
      </c>
      <c r="C192" t="inlineStr">
        <is>
          <t>CUST024</t>
        </is>
      </c>
      <c r="D192" t="inlineStr">
        <is>
          <t>Dorothy Nelson</t>
        </is>
      </c>
      <c r="E192" t="inlineStr">
        <is>
          <t>P006</t>
        </is>
      </c>
      <c r="F192" t="inlineStr">
        <is>
          <t>Office Chair</t>
        </is>
      </c>
      <c r="G192" t="inlineStr">
        <is>
          <t>Furniture</t>
        </is>
      </c>
      <c r="H192" t="n">
        <v>2</v>
      </c>
      <c r="I192" s="5" t="n">
        <v>199.99</v>
      </c>
      <c r="J192" t="inlineStr">
        <is>
          <t>Cash</t>
        </is>
      </c>
      <c r="K192" t="inlineStr">
        <is>
          <t>South</t>
        </is>
      </c>
      <c r="L192" t="inlineStr">
        <is>
          <t>Standard</t>
        </is>
      </c>
      <c r="M192" s="4" t="n">
        <v>44601</v>
      </c>
      <c r="N192" s="5" t="n">
        <v>399.98</v>
      </c>
    </row>
    <row r="193">
      <c r="A193" t="inlineStr">
        <is>
          <t>TRX0192</t>
        </is>
      </c>
      <c r="B193" s="4" t="n">
        <v>45669</v>
      </c>
      <c r="C193" t="inlineStr">
        <is>
          <t>CUST013</t>
        </is>
      </c>
      <c r="D193" t="inlineStr">
        <is>
          <t>Joseph Jackson</t>
        </is>
      </c>
      <c r="E193" t="inlineStr">
        <is>
          <t>P010</t>
        </is>
      </c>
      <c r="F193" t="inlineStr">
        <is>
          <t>Keyboard</t>
        </is>
      </c>
      <c r="G193" t="inlineStr">
        <is>
          <t>Electronics</t>
        </is>
      </c>
      <c r="H193" t="n">
        <v>2</v>
      </c>
      <c r="I193" s="5" t="n">
        <v>89.98999999999999</v>
      </c>
      <c r="J193" t="inlineStr">
        <is>
          <t>Credit Card</t>
        </is>
      </c>
      <c r="K193" t="inlineStr">
        <is>
          <t>West</t>
        </is>
      </c>
      <c r="L193" t="inlineStr">
        <is>
          <t>Standard</t>
        </is>
      </c>
      <c r="M193" s="4" t="n">
        <v>45351</v>
      </c>
      <c r="N193" s="5" t="n">
        <v>179.98</v>
      </c>
    </row>
    <row r="194">
      <c r="A194" t="inlineStr">
        <is>
          <t>TRX0193</t>
        </is>
      </c>
      <c r="B194" s="4" t="n">
        <v>45675</v>
      </c>
      <c r="C194" t="inlineStr">
        <is>
          <t>CUST040</t>
        </is>
      </c>
      <c r="D194" t="inlineStr">
        <is>
          <t>Sharon Butler</t>
        </is>
      </c>
      <c r="E194" t="inlineStr">
        <is>
          <t>P008</t>
        </is>
      </c>
      <c r="F194" t="inlineStr">
        <is>
          <t>Bookshelf</t>
        </is>
      </c>
      <c r="G194" t="inlineStr">
        <is>
          <t>Furniture</t>
        </is>
      </c>
      <c r="H194" t="n">
        <v>5</v>
      </c>
      <c r="I194" s="5" t="n">
        <v>149.99</v>
      </c>
      <c r="J194" t="inlineStr">
        <is>
          <t>Debit Card</t>
        </is>
      </c>
      <c r="K194" t="inlineStr">
        <is>
          <t>East</t>
        </is>
      </c>
      <c r="L194" t="inlineStr">
        <is>
          <t>Basic</t>
        </is>
      </c>
      <c r="M194" s="4" t="n">
        <v>45097</v>
      </c>
      <c r="N194" s="5" t="n">
        <v>749.95</v>
      </c>
    </row>
    <row r="195">
      <c r="A195" t="inlineStr">
        <is>
          <t>TRX0194</t>
        </is>
      </c>
      <c r="B195" s="4" t="n">
        <v>45674</v>
      </c>
      <c r="C195" t="inlineStr">
        <is>
          <t>CUST006</t>
        </is>
      </c>
      <c r="D195" t="inlineStr">
        <is>
          <t>Lisa Anderson</t>
        </is>
      </c>
      <c r="E195" t="inlineStr">
        <is>
          <t>P008</t>
        </is>
      </c>
      <c r="F195" t="inlineStr">
        <is>
          <t>Bookshelf</t>
        </is>
      </c>
      <c r="G195" t="inlineStr">
        <is>
          <t>Furniture</t>
        </is>
      </c>
      <c r="H195" t="n">
        <v>4</v>
      </c>
      <c r="I195" s="5" t="n">
        <v>149.99</v>
      </c>
      <c r="J195" t="inlineStr">
        <is>
          <t>Debit Card</t>
        </is>
      </c>
      <c r="K195" t="inlineStr">
        <is>
          <t>Central</t>
        </is>
      </c>
      <c r="L195" t="inlineStr">
        <is>
          <t>Basic</t>
        </is>
      </c>
      <c r="M195" s="4" t="n">
        <v>44917</v>
      </c>
      <c r="N195" s="5" t="n">
        <v>599.96</v>
      </c>
    </row>
    <row r="196">
      <c r="A196" t="inlineStr">
        <is>
          <t>TRX0195</t>
        </is>
      </c>
      <c r="B196" s="4" t="n">
        <v>45677</v>
      </c>
      <c r="C196" t="inlineStr">
        <is>
          <t>CUST034</t>
        </is>
      </c>
      <c r="D196" t="inlineStr">
        <is>
          <t>Carol Evans</t>
        </is>
      </c>
      <c r="E196" t="inlineStr">
        <is>
          <t>P002</t>
        </is>
      </c>
      <c r="F196" t="inlineStr">
        <is>
          <t>Smartphone</t>
        </is>
      </c>
      <c r="G196" t="inlineStr">
        <is>
          <t>Electronics</t>
        </is>
      </c>
      <c r="H196" t="n">
        <v>3</v>
      </c>
      <c r="I196" s="5" t="n">
        <v>699.99</v>
      </c>
      <c r="J196" t="inlineStr">
        <is>
          <t>PayPal</t>
        </is>
      </c>
      <c r="K196" t="inlineStr">
        <is>
          <t>North</t>
        </is>
      </c>
      <c r="L196" t="inlineStr">
        <is>
          <t>Basic</t>
        </is>
      </c>
      <c r="M196" s="4" t="n">
        <v>44952</v>
      </c>
      <c r="N196" s="5" t="n">
        <v>2099.97</v>
      </c>
    </row>
    <row r="197">
      <c r="A197" t="inlineStr">
        <is>
          <t>TRX0196</t>
        </is>
      </c>
      <c r="B197" s="4" t="n">
        <v>45679</v>
      </c>
      <c r="C197" t="inlineStr">
        <is>
          <t>CUST020</t>
        </is>
      </c>
      <c r="D197" t="inlineStr">
        <is>
          <t>Margaret Wright</t>
        </is>
      </c>
      <c r="E197" t="inlineStr">
        <is>
          <t>P002</t>
        </is>
      </c>
      <c r="F197" t="inlineStr">
        <is>
          <t>Smartphone</t>
        </is>
      </c>
      <c r="G197" t="inlineStr">
        <is>
          <t>Electronics</t>
        </is>
      </c>
      <c r="H197" t="n">
        <v>1</v>
      </c>
      <c r="I197" s="5" t="n">
        <v>699.99</v>
      </c>
      <c r="J197" t="inlineStr">
        <is>
          <t>PayPal</t>
        </is>
      </c>
      <c r="K197" t="inlineStr">
        <is>
          <t>West</t>
        </is>
      </c>
      <c r="L197" t="inlineStr">
        <is>
          <t>Premium</t>
        </is>
      </c>
      <c r="M197" s="4" t="n">
        <v>45332</v>
      </c>
      <c r="N197" s="5" t="n">
        <v>699.99</v>
      </c>
    </row>
    <row r="198">
      <c r="A198" t="inlineStr">
        <is>
          <t>TRX0197</t>
        </is>
      </c>
      <c r="B198" s="4" t="n">
        <v>45678</v>
      </c>
      <c r="C198" t="inlineStr">
        <is>
          <t>CUST003</t>
        </is>
      </c>
      <c r="D198" t="inlineStr">
        <is>
          <t>Michael Brown</t>
        </is>
      </c>
      <c r="E198" t="inlineStr">
        <is>
          <t>P008</t>
        </is>
      </c>
      <c r="F198" t="inlineStr">
        <is>
          <t>Bookshelf</t>
        </is>
      </c>
      <c r="G198" t="inlineStr">
        <is>
          <t>Furniture</t>
        </is>
      </c>
      <c r="H198" t="n">
        <v>5</v>
      </c>
      <c r="I198" s="5" t="n">
        <v>149.99</v>
      </c>
      <c r="J198" t="inlineStr">
        <is>
          <t>Debit Card</t>
        </is>
      </c>
      <c r="K198" t="inlineStr">
        <is>
          <t>Central</t>
        </is>
      </c>
      <c r="L198" t="inlineStr">
        <is>
          <t>Standard</t>
        </is>
      </c>
      <c r="M198" s="4" t="n">
        <v>45223</v>
      </c>
      <c r="N198" s="5" t="n">
        <v>749.95</v>
      </c>
    </row>
    <row r="199">
      <c r="A199" t="inlineStr">
        <is>
          <t>TRX0198</t>
        </is>
      </c>
      <c r="B199" s="4" t="n">
        <v>45678</v>
      </c>
      <c r="C199" t="inlineStr">
        <is>
          <t>CUST011</t>
        </is>
      </c>
      <c r="D199" t="inlineStr">
        <is>
          <t>William White</t>
        </is>
      </c>
      <c r="E199" t="inlineStr">
        <is>
          <t>P001</t>
        </is>
      </c>
      <c r="F199" t="inlineStr">
        <is>
          <t>Laptop</t>
        </is>
      </c>
      <c r="G199" t="inlineStr">
        <is>
          <t>Electronics</t>
        </is>
      </c>
      <c r="H199" t="n">
        <v>4</v>
      </c>
      <c r="I199" s="5" t="n">
        <v>899.99</v>
      </c>
      <c r="J199" t="inlineStr">
        <is>
          <t>Debit Card</t>
        </is>
      </c>
      <c r="K199" t="inlineStr">
        <is>
          <t>North</t>
        </is>
      </c>
      <c r="L199" t="inlineStr">
        <is>
          <t>Premium</t>
        </is>
      </c>
      <c r="M199" s="4" t="n">
        <v>44550</v>
      </c>
      <c r="N199" s="5" t="n">
        <v>3599.96</v>
      </c>
    </row>
    <row r="200">
      <c r="A200" t="inlineStr">
        <is>
          <t>TRX0199</t>
        </is>
      </c>
      <c r="B200" s="4" t="n">
        <v>45683</v>
      </c>
      <c r="C200" t="inlineStr">
        <is>
          <t>CUST003</t>
        </is>
      </c>
      <c r="D200" t="inlineStr">
        <is>
          <t>Michael Brown</t>
        </is>
      </c>
      <c r="E200" t="inlineStr">
        <is>
          <t>P004</t>
        </is>
      </c>
      <c r="F200" t="inlineStr">
        <is>
          <t>Coffee Maker</t>
        </is>
      </c>
      <c r="G200" t="inlineStr">
        <is>
          <t>Appliances</t>
        </is>
      </c>
      <c r="H200" t="n">
        <v>4</v>
      </c>
      <c r="I200" s="5" t="n">
        <v>79.98999999999999</v>
      </c>
      <c r="J200" t="inlineStr">
        <is>
          <t>Credit Card</t>
        </is>
      </c>
      <c r="K200" t="inlineStr">
        <is>
          <t>East</t>
        </is>
      </c>
      <c r="L200" t="inlineStr">
        <is>
          <t>Standard</t>
        </is>
      </c>
      <c r="M200" s="4" t="n">
        <v>44776</v>
      </c>
      <c r="N200" s="5" t="n">
        <v>319.96</v>
      </c>
    </row>
    <row r="201">
      <c r="A201" t="inlineStr">
        <is>
          <t>TRX0200</t>
        </is>
      </c>
      <c r="B201" s="4" t="n">
        <v>45685</v>
      </c>
      <c r="C201" t="inlineStr">
        <is>
          <t>CUST026</t>
        </is>
      </c>
      <c r="D201" t="inlineStr">
        <is>
          <t>Karen Hill</t>
        </is>
      </c>
      <c r="E201" t="inlineStr">
        <is>
          <t>P007</t>
        </is>
      </c>
      <c r="F201" t="inlineStr">
        <is>
          <t>Desk</t>
        </is>
      </c>
      <c r="G201" t="inlineStr">
        <is>
          <t>Furniture</t>
        </is>
      </c>
      <c r="H201" t="n">
        <v>3</v>
      </c>
      <c r="I201" s="5" t="n">
        <v>299.99</v>
      </c>
      <c r="J201" t="inlineStr">
        <is>
          <t>Cash</t>
        </is>
      </c>
      <c r="K201" t="inlineStr">
        <is>
          <t>East</t>
        </is>
      </c>
      <c r="L201" t="inlineStr">
        <is>
          <t>Basic</t>
        </is>
      </c>
      <c r="M201" s="4" t="n">
        <v>44872</v>
      </c>
      <c r="N201" s="5" t="n">
        <v>899.97</v>
      </c>
    </row>
    <row r="202">
      <c r="A202" t="inlineStr">
        <is>
          <t>TRX0201</t>
        </is>
      </c>
      <c r="B202" s="4" t="n">
        <v>45685</v>
      </c>
      <c r="C202" t="inlineStr">
        <is>
          <t>CUST008</t>
        </is>
      </c>
      <c r="D202" t="inlineStr">
        <is>
          <t>Jennifer Taylor</t>
        </is>
      </c>
      <c r="E202" t="inlineStr">
        <is>
          <t>P009</t>
        </is>
      </c>
      <c r="F202" t="inlineStr">
        <is>
          <t>Monitor</t>
        </is>
      </c>
      <c r="G202" t="inlineStr">
        <is>
          <t>Electronics</t>
        </is>
      </c>
      <c r="H202" t="n">
        <v>4</v>
      </c>
      <c r="I202" s="5" t="n">
        <v>249.99</v>
      </c>
      <c r="J202" t="inlineStr">
        <is>
          <t>Debit Card</t>
        </is>
      </c>
      <c r="K202" t="inlineStr">
        <is>
          <t>Central</t>
        </is>
      </c>
      <c r="L202" t="inlineStr">
        <is>
          <t>Basic</t>
        </is>
      </c>
      <c r="M202" s="4" t="n">
        <v>44879</v>
      </c>
      <c r="N202" s="5" t="n">
        <v>999.96</v>
      </c>
    </row>
    <row r="203">
      <c r="A203" t="inlineStr">
        <is>
          <t>TRX0202</t>
        </is>
      </c>
      <c r="B203" s="4" t="n">
        <v>45686</v>
      </c>
      <c r="C203" t="inlineStr">
        <is>
          <t>CUST007</t>
        </is>
      </c>
      <c r="D203" t="inlineStr">
        <is>
          <t>David Martinez</t>
        </is>
      </c>
      <c r="E203" t="inlineStr">
        <is>
          <t>P010</t>
        </is>
      </c>
      <c r="F203" t="inlineStr">
        <is>
          <t>Keyboard</t>
        </is>
      </c>
      <c r="G203" t="inlineStr">
        <is>
          <t>Electronics</t>
        </is>
      </c>
      <c r="H203" t="n">
        <v>2</v>
      </c>
      <c r="I203" s="5" t="n">
        <v>89.98999999999999</v>
      </c>
      <c r="J203" t="inlineStr">
        <is>
          <t>Debit Card</t>
        </is>
      </c>
      <c r="K203" t="inlineStr">
        <is>
          <t>West</t>
        </is>
      </c>
      <c r="L203" t="inlineStr">
        <is>
          <t>Basic</t>
        </is>
      </c>
      <c r="M203" s="4" t="n">
        <v>44370</v>
      </c>
      <c r="N203" s="5" t="n">
        <v>179.98</v>
      </c>
    </row>
    <row r="204">
      <c r="A204" t="inlineStr">
        <is>
          <t>TRX0203</t>
        </is>
      </c>
      <c r="B204" s="4" t="n">
        <v>45687</v>
      </c>
      <c r="C204" t="inlineStr">
        <is>
          <t>CUST021</t>
        </is>
      </c>
      <c r="D204" t="inlineStr">
        <is>
          <t>Kevin Scott</t>
        </is>
      </c>
      <c r="E204" t="inlineStr">
        <is>
          <t>P009</t>
        </is>
      </c>
      <c r="F204" t="inlineStr">
        <is>
          <t>Monitor</t>
        </is>
      </c>
      <c r="G204" t="inlineStr">
        <is>
          <t>Electronics</t>
        </is>
      </c>
      <c r="H204" t="n">
        <v>4</v>
      </c>
      <c r="I204" s="5" t="n">
        <v>249.99</v>
      </c>
      <c r="J204" t="inlineStr">
        <is>
          <t>Credit Card</t>
        </is>
      </c>
      <c r="K204" t="inlineStr">
        <is>
          <t>Central</t>
        </is>
      </c>
      <c r="L204" t="inlineStr">
        <is>
          <t>Basic</t>
        </is>
      </c>
      <c r="M204" s="4" t="n">
        <v>45064</v>
      </c>
      <c r="N204" s="5" t="n">
        <v>999.96</v>
      </c>
    </row>
    <row r="205">
      <c r="A205" t="inlineStr">
        <is>
          <t>TRX0204</t>
        </is>
      </c>
      <c r="B205" s="4" t="n">
        <v>45689</v>
      </c>
      <c r="C205" t="inlineStr">
        <is>
          <t>CUST034</t>
        </is>
      </c>
      <c r="D205" t="inlineStr">
        <is>
          <t>Carol Evans</t>
        </is>
      </c>
      <c r="E205" t="inlineStr">
        <is>
          <t>P006</t>
        </is>
      </c>
      <c r="F205" t="inlineStr">
        <is>
          <t>Office Chair</t>
        </is>
      </c>
      <c r="G205" t="inlineStr">
        <is>
          <t>Furniture</t>
        </is>
      </c>
      <c r="H205" t="n">
        <v>1</v>
      </c>
      <c r="I205" s="5" t="n">
        <v>199.99</v>
      </c>
      <c r="J205" t="inlineStr">
        <is>
          <t>Debit Card</t>
        </is>
      </c>
      <c r="K205" t="inlineStr">
        <is>
          <t>South</t>
        </is>
      </c>
      <c r="L205" t="inlineStr">
        <is>
          <t>Basic</t>
        </is>
      </c>
      <c r="M205" s="4" t="n">
        <v>44896</v>
      </c>
      <c r="N205" s="5" t="n">
        <v>199.99</v>
      </c>
    </row>
    <row r="206">
      <c r="A206" t="inlineStr">
        <is>
          <t>TRX0205</t>
        </is>
      </c>
      <c r="B206" s="4" t="n">
        <v>45689</v>
      </c>
      <c r="C206" t="inlineStr">
        <is>
          <t>CUST033</t>
        </is>
      </c>
      <c r="D206" t="inlineStr">
        <is>
          <t>Frank Torres</t>
        </is>
      </c>
      <c r="E206" t="inlineStr">
        <is>
          <t>P004</t>
        </is>
      </c>
      <c r="F206" t="inlineStr">
        <is>
          <t>Coffee Maker</t>
        </is>
      </c>
      <c r="G206" t="inlineStr">
        <is>
          <t>Appliances</t>
        </is>
      </c>
      <c r="H206" t="n">
        <v>2</v>
      </c>
      <c r="I206" s="5" t="n">
        <v>79.98999999999999</v>
      </c>
      <c r="J206" t="inlineStr">
        <is>
          <t>Credit Card</t>
        </is>
      </c>
      <c r="K206" t="inlineStr">
        <is>
          <t>North</t>
        </is>
      </c>
      <c r="L206" t="inlineStr">
        <is>
          <t>Standard</t>
        </is>
      </c>
      <c r="M206" s="4" t="n">
        <v>44404</v>
      </c>
      <c r="N206" s="5" t="n">
        <v>159.98</v>
      </c>
    </row>
    <row r="207">
      <c r="A207" t="inlineStr">
        <is>
          <t>TRX0206</t>
        </is>
      </c>
      <c r="B207" s="4" t="n">
        <v>45690</v>
      </c>
      <c r="C207" t="inlineStr">
        <is>
          <t>CUST034</t>
        </is>
      </c>
      <c r="D207" t="inlineStr">
        <is>
          <t>Carol Evans</t>
        </is>
      </c>
      <c r="E207" t="inlineStr">
        <is>
          <t>P009</t>
        </is>
      </c>
      <c r="F207" t="inlineStr">
        <is>
          <t>Monitor</t>
        </is>
      </c>
      <c r="G207" t="inlineStr">
        <is>
          <t>Electronics</t>
        </is>
      </c>
      <c r="H207" t="n">
        <v>5</v>
      </c>
      <c r="I207" s="5" t="n">
        <v>249.99</v>
      </c>
      <c r="J207" t="inlineStr">
        <is>
          <t>Debit Card</t>
        </is>
      </c>
      <c r="K207" t="inlineStr">
        <is>
          <t>Central</t>
        </is>
      </c>
      <c r="L207" t="inlineStr">
        <is>
          <t>Basic</t>
        </is>
      </c>
      <c r="M207" s="4" t="n">
        <v>44968</v>
      </c>
      <c r="N207" s="5" t="n">
        <v>1249.95</v>
      </c>
    </row>
    <row r="208">
      <c r="A208" t="inlineStr">
        <is>
          <t>TRX0207</t>
        </is>
      </c>
      <c r="B208" s="4" t="n">
        <v>45695</v>
      </c>
      <c r="C208" t="inlineStr">
        <is>
          <t>CUST011</t>
        </is>
      </c>
      <c r="D208" t="inlineStr">
        <is>
          <t>William White</t>
        </is>
      </c>
      <c r="E208" t="inlineStr">
        <is>
          <t>P003</t>
        </is>
      </c>
      <c r="F208" t="inlineStr">
        <is>
          <t>Headphones</t>
        </is>
      </c>
      <c r="G208" t="inlineStr">
        <is>
          <t>Electronics</t>
        </is>
      </c>
      <c r="H208" t="n">
        <v>2</v>
      </c>
      <c r="I208" s="5" t="n">
        <v>149.99</v>
      </c>
      <c r="J208" t="inlineStr">
        <is>
          <t>Credit Card</t>
        </is>
      </c>
      <c r="K208" t="inlineStr">
        <is>
          <t>West</t>
        </is>
      </c>
      <c r="L208" t="inlineStr">
        <is>
          <t>Basic</t>
        </is>
      </c>
      <c r="M208" s="4" t="n">
        <v>45038</v>
      </c>
      <c r="N208" s="5" t="n">
        <v>299.98</v>
      </c>
    </row>
    <row r="209">
      <c r="A209" t="inlineStr">
        <is>
          <t>TRX0208</t>
        </is>
      </c>
      <c r="B209" s="4" t="n">
        <v>45697</v>
      </c>
      <c r="C209" t="inlineStr">
        <is>
          <t>CUST025</t>
        </is>
      </c>
      <c r="D209" t="inlineStr">
        <is>
          <t>Mark Carter</t>
        </is>
      </c>
      <c r="E209" t="inlineStr">
        <is>
          <t>P004</t>
        </is>
      </c>
      <c r="F209" t="inlineStr">
        <is>
          <t>Coffee Maker</t>
        </is>
      </c>
      <c r="G209" t="inlineStr">
        <is>
          <t>Appliances</t>
        </is>
      </c>
      <c r="H209" t="n">
        <v>4</v>
      </c>
      <c r="I209" s="5" t="n">
        <v>79.98999999999999</v>
      </c>
      <c r="J209" t="inlineStr">
        <is>
          <t>Debit Card</t>
        </is>
      </c>
      <c r="K209" t="inlineStr">
        <is>
          <t>West</t>
        </is>
      </c>
      <c r="L209" t="inlineStr">
        <is>
          <t>Basic</t>
        </is>
      </c>
      <c r="M209" s="4" t="n">
        <v>45290</v>
      </c>
      <c r="N209" s="5" t="n">
        <v>319.96</v>
      </c>
    </row>
    <row r="210">
      <c r="A210" t="inlineStr">
        <is>
          <t>TRX0209</t>
        </is>
      </c>
      <c r="B210" s="4" t="n">
        <v>45695</v>
      </c>
      <c r="C210" t="inlineStr">
        <is>
          <t>CUST017</t>
        </is>
      </c>
      <c r="D210" t="inlineStr">
        <is>
          <t>Charles Allen</t>
        </is>
      </c>
      <c r="E210" t="inlineStr">
        <is>
          <t>P005</t>
        </is>
      </c>
      <c r="F210" t="inlineStr">
        <is>
          <t>Blender</t>
        </is>
      </c>
      <c r="G210" t="inlineStr">
        <is>
          <t>Appliances</t>
        </is>
      </c>
      <c r="H210" t="n">
        <v>4</v>
      </c>
      <c r="I210" s="5" t="n">
        <v>59.99</v>
      </c>
      <c r="J210" t="inlineStr">
        <is>
          <t>Debit Card</t>
        </is>
      </c>
      <c r="K210" t="inlineStr">
        <is>
          <t>Central</t>
        </is>
      </c>
      <c r="L210" t="inlineStr">
        <is>
          <t>Standard</t>
        </is>
      </c>
      <c r="M210" s="4" t="n">
        <v>45142</v>
      </c>
      <c r="N210" s="5" t="n">
        <v>239.96</v>
      </c>
    </row>
    <row r="211">
      <c r="A211" t="inlineStr">
        <is>
          <t>TRX0210</t>
        </is>
      </c>
      <c r="B211" s="4" t="n">
        <v>45700</v>
      </c>
      <c r="C211" t="inlineStr">
        <is>
          <t>CUST020</t>
        </is>
      </c>
      <c r="D211" t="inlineStr">
        <is>
          <t>Margaret Wright</t>
        </is>
      </c>
      <c r="E211" t="inlineStr">
        <is>
          <t>P007</t>
        </is>
      </c>
      <c r="F211" t="inlineStr">
        <is>
          <t>Desk</t>
        </is>
      </c>
      <c r="G211" t="inlineStr">
        <is>
          <t>Furniture</t>
        </is>
      </c>
      <c r="H211" t="n">
        <v>5</v>
      </c>
      <c r="I211" s="5" t="n">
        <v>299.99</v>
      </c>
      <c r="J211" t="inlineStr">
        <is>
          <t>PayPal</t>
        </is>
      </c>
      <c r="K211" t="inlineStr">
        <is>
          <t>South</t>
        </is>
      </c>
      <c r="L211" t="inlineStr">
        <is>
          <t>Basic</t>
        </is>
      </c>
      <c r="M211" s="4" t="n">
        <v>44480</v>
      </c>
      <c r="N211" s="5" t="n">
        <v>1499.95</v>
      </c>
    </row>
    <row r="212">
      <c r="A212" t="inlineStr">
        <is>
          <t>TRX0211</t>
        </is>
      </c>
      <c r="B212" s="4" t="n">
        <v>45699</v>
      </c>
      <c r="C212" t="inlineStr">
        <is>
          <t>CUST018</t>
        </is>
      </c>
      <c r="D212" t="inlineStr">
        <is>
          <t>Barbara Young</t>
        </is>
      </c>
      <c r="E212" t="inlineStr">
        <is>
          <t>P001</t>
        </is>
      </c>
      <c r="F212" t="inlineStr">
        <is>
          <t>Laptop</t>
        </is>
      </c>
      <c r="G212" t="inlineStr">
        <is>
          <t>Electronics</t>
        </is>
      </c>
      <c r="H212" t="n">
        <v>4</v>
      </c>
      <c r="I212" s="5" t="n">
        <v>899.99</v>
      </c>
      <c r="J212" t="inlineStr">
        <is>
          <t>Cash</t>
        </is>
      </c>
      <c r="K212" t="inlineStr">
        <is>
          <t>Central</t>
        </is>
      </c>
      <c r="L212" t="inlineStr">
        <is>
          <t>Basic</t>
        </is>
      </c>
      <c r="M212" s="4" t="n">
        <v>44780</v>
      </c>
      <c r="N212" s="5" t="n">
        <v>3599.96</v>
      </c>
    </row>
    <row r="213">
      <c r="A213" t="inlineStr">
        <is>
          <t>TRX0212</t>
        </is>
      </c>
      <c r="B213" s="4" t="n">
        <v>45701</v>
      </c>
      <c r="C213" t="inlineStr">
        <is>
          <t>CUST007</t>
        </is>
      </c>
      <c r="D213" t="inlineStr">
        <is>
          <t>David Martinez</t>
        </is>
      </c>
      <c r="E213" t="inlineStr">
        <is>
          <t>P003</t>
        </is>
      </c>
      <c r="F213" t="inlineStr">
        <is>
          <t>Headphones</t>
        </is>
      </c>
      <c r="G213" t="inlineStr">
        <is>
          <t>Electronics</t>
        </is>
      </c>
      <c r="H213" t="n">
        <v>3</v>
      </c>
      <c r="I213" s="5" t="n">
        <v>149.99</v>
      </c>
      <c r="J213" t="inlineStr">
        <is>
          <t>Credit Card</t>
        </is>
      </c>
      <c r="K213" t="inlineStr">
        <is>
          <t>West</t>
        </is>
      </c>
      <c r="L213" t="inlineStr">
        <is>
          <t>Basic</t>
        </is>
      </c>
      <c r="M213" s="4" t="n">
        <v>44651</v>
      </c>
      <c r="N213" s="5" t="n">
        <v>449.97</v>
      </c>
    </row>
    <row r="214">
      <c r="A214" t="inlineStr">
        <is>
          <t>TRX0213</t>
        </is>
      </c>
      <c r="B214" s="4" t="n">
        <v>45703</v>
      </c>
      <c r="C214" t="inlineStr">
        <is>
          <t>CUST030</t>
        </is>
      </c>
      <c r="D214" t="inlineStr">
        <is>
          <t>Helen Roberts</t>
        </is>
      </c>
      <c r="E214" t="inlineStr">
        <is>
          <t>P006</t>
        </is>
      </c>
      <c r="F214" t="inlineStr">
        <is>
          <t>Office Chair</t>
        </is>
      </c>
      <c r="G214" t="inlineStr">
        <is>
          <t>Furniture</t>
        </is>
      </c>
      <c r="H214" t="n">
        <v>1</v>
      </c>
      <c r="I214" s="5" t="n">
        <v>199.99</v>
      </c>
      <c r="J214" t="inlineStr">
        <is>
          <t>Cash</t>
        </is>
      </c>
      <c r="K214" t="inlineStr">
        <is>
          <t>West</t>
        </is>
      </c>
      <c r="L214" t="inlineStr">
        <is>
          <t>Premium</t>
        </is>
      </c>
      <c r="M214" s="4" t="n">
        <v>44962</v>
      </c>
      <c r="N214" s="5" t="n">
        <v>199.99</v>
      </c>
    </row>
    <row r="215">
      <c r="A215" t="inlineStr">
        <is>
          <t>TRX0214</t>
        </is>
      </c>
      <c r="B215" s="4" t="n">
        <v>45703</v>
      </c>
      <c r="C215" t="inlineStr">
        <is>
          <t>CUST017</t>
        </is>
      </c>
      <c r="D215" t="inlineStr">
        <is>
          <t>Charles Allen</t>
        </is>
      </c>
      <c r="E215" t="inlineStr">
        <is>
          <t>P007</t>
        </is>
      </c>
      <c r="F215" t="inlineStr">
        <is>
          <t>Desk</t>
        </is>
      </c>
      <c r="G215" t="inlineStr">
        <is>
          <t>Furniture</t>
        </is>
      </c>
      <c r="H215" t="n">
        <v>1</v>
      </c>
      <c r="I215" s="5" t="n">
        <v>299.99</v>
      </c>
      <c r="J215" t="inlineStr">
        <is>
          <t>Credit Card</t>
        </is>
      </c>
      <c r="K215" t="inlineStr">
        <is>
          <t>North</t>
        </is>
      </c>
      <c r="L215" t="inlineStr">
        <is>
          <t>Standard</t>
        </is>
      </c>
      <c r="M215" s="4" t="n">
        <v>44399</v>
      </c>
      <c r="N215" s="5" t="n">
        <v>299.99</v>
      </c>
    </row>
    <row r="216">
      <c r="A216" t="inlineStr">
        <is>
          <t>TRX0215</t>
        </is>
      </c>
      <c r="B216" s="4" t="n">
        <v>45704</v>
      </c>
      <c r="C216" t="inlineStr">
        <is>
          <t>CUST049</t>
        </is>
      </c>
      <c r="D216" t="inlineStr">
        <is>
          <t>Raymond Ross</t>
        </is>
      </c>
      <c r="E216" t="inlineStr">
        <is>
          <t>P006</t>
        </is>
      </c>
      <c r="F216" t="inlineStr">
        <is>
          <t>Office Chair</t>
        </is>
      </c>
      <c r="G216" t="inlineStr">
        <is>
          <t>Furniture</t>
        </is>
      </c>
      <c r="H216" t="n">
        <v>2</v>
      </c>
      <c r="I216" s="5" t="n">
        <v>199.99</v>
      </c>
      <c r="J216" t="inlineStr">
        <is>
          <t>Cash</t>
        </is>
      </c>
      <c r="K216" t="inlineStr">
        <is>
          <t>East</t>
        </is>
      </c>
      <c r="L216" t="inlineStr">
        <is>
          <t>Standard</t>
        </is>
      </c>
      <c r="M216" s="4" t="n">
        <v>44481</v>
      </c>
      <c r="N216" s="5" t="n">
        <v>399.98</v>
      </c>
    </row>
    <row r="217">
      <c r="A217" t="inlineStr">
        <is>
          <t>TRX0216</t>
        </is>
      </c>
      <c r="B217" s="4" t="n">
        <v>45708</v>
      </c>
      <c r="C217" t="inlineStr">
        <is>
          <t>CUST049</t>
        </is>
      </c>
      <c r="D217" t="inlineStr">
        <is>
          <t>Raymond Ross</t>
        </is>
      </c>
      <c r="E217" t="inlineStr">
        <is>
          <t>P008</t>
        </is>
      </c>
      <c r="F217" t="inlineStr">
        <is>
          <t>Bookshelf</t>
        </is>
      </c>
      <c r="G217" t="inlineStr">
        <is>
          <t>Furniture</t>
        </is>
      </c>
      <c r="H217" t="n">
        <v>4</v>
      </c>
      <c r="I217" s="5" t="n">
        <v>149.99</v>
      </c>
      <c r="J217" t="inlineStr">
        <is>
          <t>Cash</t>
        </is>
      </c>
      <c r="K217" t="inlineStr">
        <is>
          <t>North</t>
        </is>
      </c>
      <c r="L217" t="inlineStr">
        <is>
          <t>Basic</t>
        </is>
      </c>
      <c r="M217" s="4" t="n">
        <v>44721</v>
      </c>
      <c r="N217" s="5" t="n">
        <v>599.96</v>
      </c>
    </row>
    <row r="218">
      <c r="A218" t="inlineStr">
        <is>
          <t>TRX0217</t>
        </is>
      </c>
      <c r="B218" s="4" t="n">
        <v>45710</v>
      </c>
      <c r="C218" t="inlineStr">
        <is>
          <t>CUST015</t>
        </is>
      </c>
      <c r="D218" t="inlineStr">
        <is>
          <t>Richard Lee</t>
        </is>
      </c>
      <c r="E218" t="inlineStr">
        <is>
          <t>P003</t>
        </is>
      </c>
      <c r="F218" t="inlineStr">
        <is>
          <t>Headphones</t>
        </is>
      </c>
      <c r="G218" t="inlineStr">
        <is>
          <t>Electronics</t>
        </is>
      </c>
      <c r="H218" t="n">
        <v>5</v>
      </c>
      <c r="I218" s="5" t="n">
        <v>149.99</v>
      </c>
      <c r="J218" t="inlineStr">
        <is>
          <t>PayPal</t>
        </is>
      </c>
      <c r="K218" t="inlineStr">
        <is>
          <t>North</t>
        </is>
      </c>
      <c r="L218" t="inlineStr">
        <is>
          <t>Standard</t>
        </is>
      </c>
      <c r="M218" s="4" t="n">
        <v>44683</v>
      </c>
      <c r="N218" s="5" t="n">
        <v>749.95</v>
      </c>
    </row>
    <row r="219">
      <c r="A219" t="inlineStr">
        <is>
          <t>TRX0218</t>
        </is>
      </c>
      <c r="B219" s="4" t="n">
        <v>45708</v>
      </c>
      <c r="C219" t="inlineStr">
        <is>
          <t>CUST021</t>
        </is>
      </c>
      <c r="D219" t="inlineStr">
        <is>
          <t>Kevin Scott</t>
        </is>
      </c>
      <c r="E219" t="inlineStr">
        <is>
          <t>P002</t>
        </is>
      </c>
      <c r="F219" t="inlineStr">
        <is>
          <t>Smartphone</t>
        </is>
      </c>
      <c r="G219" t="inlineStr">
        <is>
          <t>Electronics</t>
        </is>
      </c>
      <c r="H219" t="n">
        <v>1</v>
      </c>
      <c r="I219" s="5" t="n">
        <v>699.99</v>
      </c>
      <c r="J219" t="inlineStr">
        <is>
          <t>PayPal</t>
        </is>
      </c>
      <c r="K219" t="inlineStr">
        <is>
          <t>Central</t>
        </is>
      </c>
      <c r="L219" t="inlineStr">
        <is>
          <t>Standard</t>
        </is>
      </c>
      <c r="M219" s="4" t="n">
        <v>44325</v>
      </c>
      <c r="N219" s="5" t="n">
        <v>699.99</v>
      </c>
    </row>
    <row r="220">
      <c r="A220" t="inlineStr">
        <is>
          <t>TRX0219</t>
        </is>
      </c>
      <c r="B220" s="4" t="n">
        <v>45713</v>
      </c>
      <c r="C220" t="inlineStr">
        <is>
          <t>CUST009</t>
        </is>
      </c>
      <c r="D220" t="inlineStr">
        <is>
          <t>Robert Thomas</t>
        </is>
      </c>
      <c r="E220" t="inlineStr">
        <is>
          <t>P008</t>
        </is>
      </c>
      <c r="F220" t="inlineStr">
        <is>
          <t>Bookshelf</t>
        </is>
      </c>
      <c r="G220" t="inlineStr">
        <is>
          <t>Furniture</t>
        </is>
      </c>
      <c r="H220" t="n">
        <v>5</v>
      </c>
      <c r="I220" s="5" t="n">
        <v>149.99</v>
      </c>
      <c r="J220" t="inlineStr">
        <is>
          <t>Cash</t>
        </is>
      </c>
      <c r="K220" t="inlineStr">
        <is>
          <t>Central</t>
        </is>
      </c>
      <c r="L220" t="inlineStr">
        <is>
          <t>Premium</t>
        </is>
      </c>
      <c r="M220" s="4" t="n">
        <v>44692</v>
      </c>
      <c r="N220" s="5" t="n">
        <v>749.95</v>
      </c>
    </row>
    <row r="221">
      <c r="A221" t="inlineStr">
        <is>
          <t>TRX0220</t>
        </is>
      </c>
      <c r="B221" s="4" t="n">
        <v>45713</v>
      </c>
      <c r="C221" t="inlineStr">
        <is>
          <t>CUST049</t>
        </is>
      </c>
      <c r="D221" t="inlineStr">
        <is>
          <t>Raymond Ross</t>
        </is>
      </c>
      <c r="E221" t="inlineStr">
        <is>
          <t>P003</t>
        </is>
      </c>
      <c r="F221" t="inlineStr">
        <is>
          <t>Headphones</t>
        </is>
      </c>
      <c r="G221" t="inlineStr">
        <is>
          <t>Electronics</t>
        </is>
      </c>
      <c r="H221" t="n">
        <v>3</v>
      </c>
      <c r="I221" s="5" t="n">
        <v>149.99</v>
      </c>
      <c r="J221" t="inlineStr">
        <is>
          <t>Cash</t>
        </is>
      </c>
      <c r="K221" t="inlineStr">
        <is>
          <t>Central</t>
        </is>
      </c>
      <c r="L221" t="inlineStr">
        <is>
          <t>Standard</t>
        </is>
      </c>
      <c r="M221" s="4" t="n">
        <v>44689</v>
      </c>
      <c r="N221" s="5" t="n">
        <v>449.97</v>
      </c>
    </row>
    <row r="222">
      <c r="A222" t="inlineStr">
        <is>
          <t>TRX0221</t>
        </is>
      </c>
      <c r="B222" s="4" t="n">
        <v>45712</v>
      </c>
      <c r="C222" t="inlineStr">
        <is>
          <t>CUST039</t>
        </is>
      </c>
      <c r="D222" t="inlineStr">
        <is>
          <t>Lawrence Reed</t>
        </is>
      </c>
      <c r="E222" t="inlineStr">
        <is>
          <t>P007</t>
        </is>
      </c>
      <c r="F222" t="inlineStr">
        <is>
          <t>Desk</t>
        </is>
      </c>
      <c r="G222" t="inlineStr">
        <is>
          <t>Furniture</t>
        </is>
      </c>
      <c r="H222" t="n">
        <v>2</v>
      </c>
      <c r="I222" s="5" t="n">
        <v>299.99</v>
      </c>
      <c r="J222" t="inlineStr">
        <is>
          <t>Debit Card</t>
        </is>
      </c>
      <c r="K222" t="inlineStr">
        <is>
          <t>North</t>
        </is>
      </c>
      <c r="L222" t="inlineStr">
        <is>
          <t>Premium</t>
        </is>
      </c>
      <c r="M222" s="4" t="n">
        <v>45311</v>
      </c>
      <c r="N222" s="5" t="n">
        <v>599.98</v>
      </c>
    </row>
    <row r="223">
      <c r="A223" t="inlineStr">
        <is>
          <t>TRX0222</t>
        </is>
      </c>
      <c r="B223" s="4" t="n">
        <v>45713</v>
      </c>
      <c r="C223" t="inlineStr">
        <is>
          <t>CUST034</t>
        </is>
      </c>
      <c r="D223" t="inlineStr">
        <is>
          <t>Carol Evans</t>
        </is>
      </c>
      <c r="E223" t="inlineStr">
        <is>
          <t>P009</t>
        </is>
      </c>
      <c r="F223" t="inlineStr">
        <is>
          <t>Monitor</t>
        </is>
      </c>
      <c r="G223" t="inlineStr">
        <is>
          <t>Electronics</t>
        </is>
      </c>
      <c r="H223" t="n">
        <v>5</v>
      </c>
      <c r="I223" s="5" t="n">
        <v>249.99</v>
      </c>
      <c r="J223" t="inlineStr">
        <is>
          <t>PayPal</t>
        </is>
      </c>
      <c r="K223" t="inlineStr">
        <is>
          <t>West</t>
        </is>
      </c>
      <c r="L223" t="inlineStr">
        <is>
          <t>Basic</t>
        </is>
      </c>
      <c r="M223" s="4" t="n">
        <v>44989</v>
      </c>
      <c r="N223" s="5" t="n">
        <v>1249.95</v>
      </c>
    </row>
    <row r="224">
      <c r="A224" t="inlineStr">
        <is>
          <t>TRX0223</t>
        </is>
      </c>
      <c r="B224" s="4" t="n">
        <v>45716</v>
      </c>
      <c r="C224" t="inlineStr">
        <is>
          <t>CUST025</t>
        </is>
      </c>
      <c r="D224" t="inlineStr">
        <is>
          <t>Mark Carter</t>
        </is>
      </c>
      <c r="E224" t="inlineStr">
        <is>
          <t>P005</t>
        </is>
      </c>
      <c r="F224" t="inlineStr">
        <is>
          <t>Blender</t>
        </is>
      </c>
      <c r="G224" t="inlineStr">
        <is>
          <t>Appliances</t>
        </is>
      </c>
      <c r="H224" t="n">
        <v>1</v>
      </c>
      <c r="I224" s="5" t="n">
        <v>59.99</v>
      </c>
      <c r="J224" t="inlineStr">
        <is>
          <t>Cash</t>
        </is>
      </c>
      <c r="K224" t="inlineStr">
        <is>
          <t>East</t>
        </is>
      </c>
      <c r="L224" t="inlineStr">
        <is>
          <t>Basic</t>
        </is>
      </c>
      <c r="M224" s="4" t="n">
        <v>44409</v>
      </c>
      <c r="N224" s="5" t="n">
        <v>59.99</v>
      </c>
    </row>
    <row r="225">
      <c r="A225" t="inlineStr">
        <is>
          <t>TRX0224</t>
        </is>
      </c>
      <c r="B225" s="4" t="n">
        <v>45716</v>
      </c>
      <c r="C225" t="inlineStr">
        <is>
          <t>CUST040</t>
        </is>
      </c>
      <c r="D225" t="inlineStr">
        <is>
          <t>Sharon Butler</t>
        </is>
      </c>
      <c r="E225" t="inlineStr">
        <is>
          <t>P006</t>
        </is>
      </c>
      <c r="F225" t="inlineStr">
        <is>
          <t>Office Chair</t>
        </is>
      </c>
      <c r="G225" t="inlineStr">
        <is>
          <t>Furniture</t>
        </is>
      </c>
      <c r="H225" t="n">
        <v>2</v>
      </c>
      <c r="I225" s="5" t="n">
        <v>199.99</v>
      </c>
      <c r="J225" t="inlineStr">
        <is>
          <t>Debit Card</t>
        </is>
      </c>
      <c r="K225" t="inlineStr">
        <is>
          <t>Central</t>
        </is>
      </c>
      <c r="L225" t="inlineStr">
        <is>
          <t>Standard</t>
        </is>
      </c>
      <c r="M225" s="4" t="n">
        <v>44555</v>
      </c>
      <c r="N225" s="5" t="n">
        <v>399.98</v>
      </c>
    </row>
    <row r="226">
      <c r="A226" t="inlineStr">
        <is>
          <t>TRX0225</t>
        </is>
      </c>
      <c r="B226" s="4" t="n">
        <v>45718</v>
      </c>
      <c r="C226" t="inlineStr">
        <is>
          <t>CUST047</t>
        </is>
      </c>
      <c r="D226" t="inlineStr">
        <is>
          <t>Gerald Murphy</t>
        </is>
      </c>
      <c r="E226" t="inlineStr">
        <is>
          <t>P008</t>
        </is>
      </c>
      <c r="F226" t="inlineStr">
        <is>
          <t>Bookshelf</t>
        </is>
      </c>
      <c r="G226" t="inlineStr">
        <is>
          <t>Furniture</t>
        </is>
      </c>
      <c r="H226" t="n">
        <v>4</v>
      </c>
      <c r="I226" s="5" t="n">
        <v>149.99</v>
      </c>
      <c r="J226" t="inlineStr">
        <is>
          <t>Credit Card</t>
        </is>
      </c>
      <c r="K226" t="inlineStr">
        <is>
          <t>North</t>
        </is>
      </c>
      <c r="L226" t="inlineStr">
        <is>
          <t>Premium</t>
        </is>
      </c>
      <c r="M226" s="4" t="n">
        <v>45134</v>
      </c>
      <c r="N226" s="5" t="n">
        <v>599.96</v>
      </c>
    </row>
    <row r="227">
      <c r="A227" t="inlineStr">
        <is>
          <t>TRX0226</t>
        </is>
      </c>
      <c r="B227" s="4" t="n">
        <v>45719</v>
      </c>
      <c r="C227" t="inlineStr">
        <is>
          <t>CUST003</t>
        </is>
      </c>
      <c r="D227" t="inlineStr">
        <is>
          <t>Michael Brown</t>
        </is>
      </c>
      <c r="E227" t="inlineStr">
        <is>
          <t>P005</t>
        </is>
      </c>
      <c r="F227" t="inlineStr">
        <is>
          <t>Blender</t>
        </is>
      </c>
      <c r="G227" t="inlineStr">
        <is>
          <t>Appliances</t>
        </is>
      </c>
      <c r="H227" t="n">
        <v>2</v>
      </c>
      <c r="I227" s="5" t="n">
        <v>59.99</v>
      </c>
      <c r="J227" t="inlineStr">
        <is>
          <t>Credit Card</t>
        </is>
      </c>
      <c r="K227" t="inlineStr">
        <is>
          <t>North</t>
        </is>
      </c>
      <c r="L227" t="inlineStr">
        <is>
          <t>Standard</t>
        </is>
      </c>
      <c r="M227" s="4" t="n">
        <v>44832</v>
      </c>
      <c r="N227" s="5" t="n">
        <v>119.98</v>
      </c>
    </row>
    <row r="228">
      <c r="A228" t="inlineStr">
        <is>
          <t>TRX0227</t>
        </is>
      </c>
      <c r="B228" s="4" t="n">
        <v>45723</v>
      </c>
      <c r="C228" t="inlineStr">
        <is>
          <t>CUST034</t>
        </is>
      </c>
      <c r="D228" t="inlineStr">
        <is>
          <t>Carol Evans</t>
        </is>
      </c>
      <c r="E228" t="inlineStr">
        <is>
          <t>P007</t>
        </is>
      </c>
      <c r="F228" t="inlineStr">
        <is>
          <t>Desk</t>
        </is>
      </c>
      <c r="G228" t="inlineStr">
        <is>
          <t>Furniture</t>
        </is>
      </c>
      <c r="H228" t="n">
        <v>5</v>
      </c>
      <c r="I228" s="5" t="n">
        <v>299.99</v>
      </c>
      <c r="J228" t="inlineStr">
        <is>
          <t>Debit Card</t>
        </is>
      </c>
      <c r="K228" t="inlineStr">
        <is>
          <t>North</t>
        </is>
      </c>
      <c r="L228" t="inlineStr">
        <is>
          <t>Premium</t>
        </is>
      </c>
      <c r="M228" s="4" t="n">
        <v>44588</v>
      </c>
      <c r="N228" s="5" t="n">
        <v>1499.95</v>
      </c>
    </row>
    <row r="229">
      <c r="A229" t="inlineStr">
        <is>
          <t>TRX0228</t>
        </is>
      </c>
      <c r="B229" s="4" t="n">
        <v>45724</v>
      </c>
      <c r="C229" t="inlineStr">
        <is>
          <t>CUST020</t>
        </is>
      </c>
      <c r="D229" t="inlineStr">
        <is>
          <t>Margaret Wright</t>
        </is>
      </c>
      <c r="E229" t="inlineStr">
        <is>
          <t>P006</t>
        </is>
      </c>
      <c r="F229" t="inlineStr">
        <is>
          <t>Office Chair</t>
        </is>
      </c>
      <c r="G229" t="inlineStr">
        <is>
          <t>Furniture</t>
        </is>
      </c>
      <c r="H229" t="n">
        <v>1</v>
      </c>
      <c r="I229" s="5" t="n">
        <v>199.99</v>
      </c>
      <c r="J229" t="inlineStr">
        <is>
          <t>Debit Card</t>
        </is>
      </c>
      <c r="K229" t="inlineStr">
        <is>
          <t>North</t>
        </is>
      </c>
      <c r="L229" t="inlineStr">
        <is>
          <t>Standard</t>
        </is>
      </c>
      <c r="M229" s="4" t="n">
        <v>45091</v>
      </c>
      <c r="N229" s="5" t="n">
        <v>199.99</v>
      </c>
    </row>
    <row r="230">
      <c r="A230" t="inlineStr">
        <is>
          <t>TRX0229</t>
        </is>
      </c>
      <c r="B230" s="4" t="n">
        <v>45725</v>
      </c>
      <c r="C230" t="inlineStr">
        <is>
          <t>CUST027</t>
        </is>
      </c>
      <c r="D230" t="inlineStr">
        <is>
          <t>George Adams</t>
        </is>
      </c>
      <c r="E230" t="inlineStr">
        <is>
          <t>P008</t>
        </is>
      </c>
      <c r="F230" t="inlineStr">
        <is>
          <t>Bookshelf</t>
        </is>
      </c>
      <c r="G230" t="inlineStr">
        <is>
          <t>Furniture</t>
        </is>
      </c>
      <c r="H230" t="n">
        <v>4</v>
      </c>
      <c r="I230" s="5" t="n">
        <v>149.99</v>
      </c>
      <c r="J230" t="inlineStr">
        <is>
          <t>Credit Card</t>
        </is>
      </c>
      <c r="K230" t="inlineStr">
        <is>
          <t>West</t>
        </is>
      </c>
      <c r="L230" t="inlineStr">
        <is>
          <t>Premium</t>
        </is>
      </c>
      <c r="M230" s="4" t="n">
        <v>45215</v>
      </c>
      <c r="N230" s="5" t="n">
        <v>599.96</v>
      </c>
    </row>
    <row r="231">
      <c r="A231" t="inlineStr">
        <is>
          <t>TRX0230</t>
        </is>
      </c>
      <c r="B231" s="4" t="n">
        <v>45725</v>
      </c>
      <c r="C231" t="inlineStr">
        <is>
          <t>CUST025</t>
        </is>
      </c>
      <c r="D231" t="inlineStr">
        <is>
          <t>Mark Carter</t>
        </is>
      </c>
      <c r="E231" t="inlineStr">
        <is>
          <t>P009</t>
        </is>
      </c>
      <c r="F231" t="inlineStr">
        <is>
          <t>Monitor</t>
        </is>
      </c>
      <c r="G231" t="inlineStr">
        <is>
          <t>Electronics</t>
        </is>
      </c>
      <c r="H231" t="n">
        <v>3</v>
      </c>
      <c r="I231" s="5" t="n">
        <v>249.99</v>
      </c>
      <c r="J231" t="inlineStr">
        <is>
          <t>PayPal</t>
        </is>
      </c>
      <c r="K231" t="inlineStr">
        <is>
          <t>North</t>
        </is>
      </c>
      <c r="L231" t="inlineStr">
        <is>
          <t>Standard</t>
        </is>
      </c>
      <c r="M231" s="4" t="n">
        <v>44566</v>
      </c>
      <c r="N231" s="5" t="n">
        <v>749.97</v>
      </c>
    </row>
    <row r="232">
      <c r="A232" t="inlineStr">
        <is>
          <t>TRX0231</t>
        </is>
      </c>
      <c r="B232" s="4" t="n">
        <v>45726</v>
      </c>
      <c r="C232" t="inlineStr">
        <is>
          <t>CUST036</t>
        </is>
      </c>
      <c r="D232" t="inlineStr">
        <is>
          <t>Nancy Collins</t>
        </is>
      </c>
      <c r="E232" t="inlineStr">
        <is>
          <t>P005</t>
        </is>
      </c>
      <c r="F232" t="inlineStr">
        <is>
          <t>Blender</t>
        </is>
      </c>
      <c r="G232" t="inlineStr">
        <is>
          <t>Appliances</t>
        </is>
      </c>
      <c r="H232" t="n">
        <v>3</v>
      </c>
      <c r="I232" s="5" t="n">
        <v>59.99</v>
      </c>
      <c r="J232" t="inlineStr">
        <is>
          <t>Cash</t>
        </is>
      </c>
      <c r="K232" t="inlineStr">
        <is>
          <t>East</t>
        </is>
      </c>
      <c r="L232" t="inlineStr">
        <is>
          <t>Premium</t>
        </is>
      </c>
      <c r="M232" s="4" t="n">
        <v>44802</v>
      </c>
      <c r="N232" s="5" t="n">
        <v>179.97</v>
      </c>
    </row>
    <row r="233">
      <c r="A233" t="inlineStr">
        <is>
          <t>TRX0232</t>
        </is>
      </c>
      <c r="B233" s="4" t="n">
        <v>45730</v>
      </c>
      <c r="C233" t="inlineStr">
        <is>
          <t>CUST021</t>
        </is>
      </c>
      <c r="D233" t="inlineStr">
        <is>
          <t>Kevin Scott</t>
        </is>
      </c>
      <c r="E233" t="inlineStr">
        <is>
          <t>P008</t>
        </is>
      </c>
      <c r="F233" t="inlineStr">
        <is>
          <t>Bookshelf</t>
        </is>
      </c>
      <c r="G233" t="inlineStr">
        <is>
          <t>Furniture</t>
        </is>
      </c>
      <c r="H233" t="n">
        <v>5</v>
      </c>
      <c r="I233" s="5" t="n">
        <v>149.99</v>
      </c>
      <c r="J233" t="inlineStr">
        <is>
          <t>Credit Card</t>
        </is>
      </c>
      <c r="K233" t="inlineStr">
        <is>
          <t>West</t>
        </is>
      </c>
      <c r="L233" t="inlineStr">
        <is>
          <t>Standard</t>
        </is>
      </c>
      <c r="M233" s="4" t="n">
        <v>45112</v>
      </c>
      <c r="N233" s="5" t="n">
        <v>749.95</v>
      </c>
    </row>
    <row r="234">
      <c r="A234" t="inlineStr">
        <is>
          <t>TRX0233</t>
        </is>
      </c>
      <c r="B234" s="4" t="n">
        <v>45732</v>
      </c>
      <c r="C234" t="inlineStr">
        <is>
          <t>CUST003</t>
        </is>
      </c>
      <c r="D234" t="inlineStr">
        <is>
          <t>Michael Brown</t>
        </is>
      </c>
      <c r="E234" t="inlineStr">
        <is>
          <t>P006</t>
        </is>
      </c>
      <c r="F234" t="inlineStr">
        <is>
          <t>Office Chair</t>
        </is>
      </c>
      <c r="G234" t="inlineStr">
        <is>
          <t>Furniture</t>
        </is>
      </c>
      <c r="H234" t="n">
        <v>5</v>
      </c>
      <c r="I234" s="5" t="n">
        <v>199.99</v>
      </c>
      <c r="J234" t="inlineStr">
        <is>
          <t>Debit Card</t>
        </is>
      </c>
      <c r="K234" t="inlineStr">
        <is>
          <t>North</t>
        </is>
      </c>
      <c r="L234" t="inlineStr">
        <is>
          <t>Basic</t>
        </is>
      </c>
      <c r="M234" s="4" t="n">
        <v>45028</v>
      </c>
      <c r="N234" s="5" t="n">
        <v>999.95</v>
      </c>
    </row>
    <row r="235">
      <c r="A235" t="inlineStr">
        <is>
          <t>TRX0234</t>
        </is>
      </c>
      <c r="B235" s="4" t="n">
        <v>45730</v>
      </c>
      <c r="C235" t="inlineStr">
        <is>
          <t>CUST025</t>
        </is>
      </c>
      <c r="D235" t="inlineStr">
        <is>
          <t>Mark Carter</t>
        </is>
      </c>
      <c r="E235" t="inlineStr">
        <is>
          <t>P009</t>
        </is>
      </c>
      <c r="F235" t="inlineStr">
        <is>
          <t>Monitor</t>
        </is>
      </c>
      <c r="G235" t="inlineStr">
        <is>
          <t>Electronics</t>
        </is>
      </c>
      <c r="H235" t="n">
        <v>2</v>
      </c>
      <c r="I235" s="5" t="n">
        <v>249.99</v>
      </c>
      <c r="J235" t="inlineStr">
        <is>
          <t>Credit Card</t>
        </is>
      </c>
      <c r="K235" t="inlineStr">
        <is>
          <t>Central</t>
        </is>
      </c>
      <c r="L235" t="inlineStr">
        <is>
          <t>Premium</t>
        </is>
      </c>
      <c r="M235" s="4" t="n">
        <v>45094</v>
      </c>
      <c r="N235" s="5" t="n">
        <v>499.98</v>
      </c>
    </row>
    <row r="236">
      <c r="A236" t="inlineStr">
        <is>
          <t>TRX0235</t>
        </is>
      </c>
      <c r="B236" s="4" t="n">
        <v>45733</v>
      </c>
      <c r="C236" t="inlineStr">
        <is>
          <t>CUST003</t>
        </is>
      </c>
      <c r="D236" t="inlineStr">
        <is>
          <t>Michael Brown</t>
        </is>
      </c>
      <c r="E236" t="inlineStr">
        <is>
          <t>P003</t>
        </is>
      </c>
      <c r="F236" t="inlineStr">
        <is>
          <t>Headphones</t>
        </is>
      </c>
      <c r="G236" t="inlineStr">
        <is>
          <t>Electronics</t>
        </is>
      </c>
      <c r="H236" t="n">
        <v>1</v>
      </c>
      <c r="I236" s="5" t="n">
        <v>149.99</v>
      </c>
      <c r="J236" t="inlineStr">
        <is>
          <t>Debit Card</t>
        </is>
      </c>
      <c r="K236" t="inlineStr">
        <is>
          <t>East</t>
        </is>
      </c>
      <c r="L236" t="inlineStr">
        <is>
          <t>Standard</t>
        </is>
      </c>
      <c r="M236" s="4" t="n">
        <v>45358</v>
      </c>
      <c r="N236" s="5" t="n">
        <v>149.99</v>
      </c>
    </row>
    <row r="237">
      <c r="A237" t="inlineStr">
        <is>
          <t>TRX0236</t>
        </is>
      </c>
      <c r="B237" s="4" t="n">
        <v>45736</v>
      </c>
      <c r="C237" t="inlineStr">
        <is>
          <t>CUST003</t>
        </is>
      </c>
      <c r="D237" t="inlineStr">
        <is>
          <t>Michael Brown</t>
        </is>
      </c>
      <c r="E237" t="inlineStr">
        <is>
          <t>P010</t>
        </is>
      </c>
      <c r="F237" t="inlineStr">
        <is>
          <t>Keyboard</t>
        </is>
      </c>
      <c r="G237" t="inlineStr">
        <is>
          <t>Electronics</t>
        </is>
      </c>
      <c r="H237" t="n">
        <v>2</v>
      </c>
      <c r="I237" s="5" t="n">
        <v>89.98999999999999</v>
      </c>
      <c r="J237" t="inlineStr">
        <is>
          <t>Debit Card</t>
        </is>
      </c>
      <c r="K237" t="inlineStr">
        <is>
          <t>East</t>
        </is>
      </c>
      <c r="L237" t="inlineStr">
        <is>
          <t>Standard</t>
        </is>
      </c>
      <c r="M237" s="4" t="n">
        <v>44354</v>
      </c>
      <c r="N237" s="5" t="n">
        <v>179.98</v>
      </c>
    </row>
    <row r="238">
      <c r="A238" t="inlineStr">
        <is>
          <t>TRX0237</t>
        </is>
      </c>
      <c r="B238" s="4" t="n">
        <v>45737</v>
      </c>
      <c r="C238" t="inlineStr">
        <is>
          <t>CUST039</t>
        </is>
      </c>
      <c r="D238" t="inlineStr">
        <is>
          <t>Lawrence Reed</t>
        </is>
      </c>
      <c r="E238" t="inlineStr">
        <is>
          <t>P003</t>
        </is>
      </c>
      <c r="F238" t="inlineStr">
        <is>
          <t>Headphones</t>
        </is>
      </c>
      <c r="G238" t="inlineStr">
        <is>
          <t>Electronics</t>
        </is>
      </c>
      <c r="H238" t="n">
        <v>5</v>
      </c>
      <c r="I238" s="5" t="n">
        <v>149.99</v>
      </c>
      <c r="J238" t="inlineStr">
        <is>
          <t>PayPal</t>
        </is>
      </c>
      <c r="K238" t="inlineStr">
        <is>
          <t>East</t>
        </is>
      </c>
      <c r="L238" t="inlineStr">
        <is>
          <t>Premium</t>
        </is>
      </c>
      <c r="M238" s="4" t="n">
        <v>44767</v>
      </c>
      <c r="N238" s="5" t="n">
        <v>749.95</v>
      </c>
    </row>
    <row r="239">
      <c r="A239" t="inlineStr">
        <is>
          <t>TRX0238</t>
        </is>
      </c>
      <c r="B239" s="4" t="n">
        <v>45737</v>
      </c>
      <c r="C239" t="inlineStr">
        <is>
          <t>CUST017</t>
        </is>
      </c>
      <c r="D239" t="inlineStr">
        <is>
          <t>Charles Allen</t>
        </is>
      </c>
      <c r="E239" t="inlineStr">
        <is>
          <t>P002</t>
        </is>
      </c>
      <c r="F239" t="inlineStr">
        <is>
          <t>Smartphone</t>
        </is>
      </c>
      <c r="G239" t="inlineStr">
        <is>
          <t>Electronics</t>
        </is>
      </c>
      <c r="H239" t="n">
        <v>1</v>
      </c>
      <c r="I239" s="5" t="n">
        <v>699.99</v>
      </c>
      <c r="J239" t="inlineStr">
        <is>
          <t>PayPal</t>
        </is>
      </c>
      <c r="K239" t="inlineStr">
        <is>
          <t>Central</t>
        </is>
      </c>
      <c r="L239" t="inlineStr">
        <is>
          <t>Standard</t>
        </is>
      </c>
      <c r="M239" s="4" t="n">
        <v>45347</v>
      </c>
      <c r="N239" s="5" t="n">
        <v>699.99</v>
      </c>
    </row>
    <row r="240">
      <c r="A240" t="inlineStr">
        <is>
          <t>TRX0239</t>
        </is>
      </c>
      <c r="B240" s="4" t="n">
        <v>45741</v>
      </c>
      <c r="C240" t="inlineStr">
        <is>
          <t>CUST009</t>
        </is>
      </c>
      <c r="D240" t="inlineStr">
        <is>
          <t>Robert Thomas</t>
        </is>
      </c>
      <c r="E240" t="inlineStr">
        <is>
          <t>P005</t>
        </is>
      </c>
      <c r="F240" t="inlineStr">
        <is>
          <t>Blender</t>
        </is>
      </c>
      <c r="G240" t="inlineStr">
        <is>
          <t>Appliances</t>
        </is>
      </c>
      <c r="H240" t="n">
        <v>3</v>
      </c>
      <c r="I240" s="5" t="n">
        <v>59.99</v>
      </c>
      <c r="J240" t="inlineStr">
        <is>
          <t>Credit Card</t>
        </is>
      </c>
      <c r="K240" t="inlineStr">
        <is>
          <t>Central</t>
        </is>
      </c>
      <c r="L240" t="inlineStr">
        <is>
          <t>Standard</t>
        </is>
      </c>
      <c r="M240" s="4" t="n">
        <v>45202</v>
      </c>
      <c r="N240" s="5" t="n">
        <v>179.97</v>
      </c>
    </row>
    <row r="241">
      <c r="A241" t="inlineStr">
        <is>
          <t>TRX0240</t>
        </is>
      </c>
      <c r="B241" s="4" t="n">
        <v>45739</v>
      </c>
      <c r="C241" t="inlineStr">
        <is>
          <t>CUST014</t>
        </is>
      </c>
      <c r="D241" t="inlineStr">
        <is>
          <t>Linda Martin</t>
        </is>
      </c>
      <c r="E241" t="inlineStr">
        <is>
          <t>P002</t>
        </is>
      </c>
      <c r="F241" t="inlineStr">
        <is>
          <t>Smartphone</t>
        </is>
      </c>
      <c r="G241" t="inlineStr">
        <is>
          <t>Electronics</t>
        </is>
      </c>
      <c r="H241" t="n">
        <v>2</v>
      </c>
      <c r="I241" s="5" t="n">
        <v>699.99</v>
      </c>
      <c r="J241" t="inlineStr">
        <is>
          <t>PayPal</t>
        </is>
      </c>
      <c r="K241" t="inlineStr">
        <is>
          <t>South</t>
        </is>
      </c>
      <c r="L241" t="inlineStr">
        <is>
          <t>Premium</t>
        </is>
      </c>
      <c r="M241" s="4" t="n">
        <v>45108</v>
      </c>
      <c r="N241" s="5" t="n">
        <v>1399.98</v>
      </c>
    </row>
    <row r="242">
      <c r="A242" t="inlineStr">
        <is>
          <t>TRX0241</t>
        </is>
      </c>
      <c r="B242" s="4" t="n">
        <v>45741</v>
      </c>
      <c r="C242" t="inlineStr">
        <is>
          <t>CUST007</t>
        </is>
      </c>
      <c r="D242" t="inlineStr">
        <is>
          <t>David Martinez</t>
        </is>
      </c>
      <c r="E242" t="inlineStr">
        <is>
          <t>P006</t>
        </is>
      </c>
      <c r="F242" t="inlineStr">
        <is>
          <t>Office Chair</t>
        </is>
      </c>
      <c r="G242" t="inlineStr">
        <is>
          <t>Furniture</t>
        </is>
      </c>
      <c r="H242" t="n">
        <v>3</v>
      </c>
      <c r="I242" s="5" t="n">
        <v>199.99</v>
      </c>
      <c r="J242" t="inlineStr">
        <is>
          <t>Debit Card</t>
        </is>
      </c>
      <c r="K242" t="inlineStr">
        <is>
          <t>East</t>
        </is>
      </c>
      <c r="L242" t="inlineStr">
        <is>
          <t>Basic</t>
        </is>
      </c>
      <c r="M242" s="4" t="n">
        <v>44553</v>
      </c>
      <c r="N242" s="5" t="n">
        <v>599.97</v>
      </c>
    </row>
    <row r="243">
      <c r="A243" t="inlineStr">
        <is>
          <t>TRX0242</t>
        </is>
      </c>
      <c r="B243" s="4" t="n">
        <v>45742</v>
      </c>
      <c r="C243" t="inlineStr">
        <is>
          <t>CUST025</t>
        </is>
      </c>
      <c r="D243" t="inlineStr">
        <is>
          <t>Mark Carter</t>
        </is>
      </c>
      <c r="E243" t="inlineStr">
        <is>
          <t>P009</t>
        </is>
      </c>
      <c r="F243" t="inlineStr">
        <is>
          <t>Monitor</t>
        </is>
      </c>
      <c r="G243" t="inlineStr">
        <is>
          <t>Electronics</t>
        </is>
      </c>
      <c r="H243" t="n">
        <v>2</v>
      </c>
      <c r="I243" s="5" t="n">
        <v>249.99</v>
      </c>
      <c r="J243" t="inlineStr">
        <is>
          <t>Credit Card</t>
        </is>
      </c>
      <c r="K243" t="inlineStr">
        <is>
          <t>South</t>
        </is>
      </c>
      <c r="L243" t="inlineStr">
        <is>
          <t>Basic</t>
        </is>
      </c>
      <c r="M243" s="4" t="n">
        <v>45208</v>
      </c>
      <c r="N243" s="5" t="n">
        <v>499.98</v>
      </c>
    </row>
    <row r="244">
      <c r="A244" t="inlineStr">
        <is>
          <t>TRX0243</t>
        </is>
      </c>
      <c r="B244" s="4" t="n">
        <v>45747</v>
      </c>
      <c r="C244" t="inlineStr">
        <is>
          <t>CUST002</t>
        </is>
      </c>
      <c r="D244" t="inlineStr">
        <is>
          <t>Emma Wilson</t>
        </is>
      </c>
      <c r="E244" t="inlineStr">
        <is>
          <t>P006</t>
        </is>
      </c>
      <c r="F244" t="inlineStr">
        <is>
          <t>Office Chair</t>
        </is>
      </c>
      <c r="G244" t="inlineStr">
        <is>
          <t>Furniture</t>
        </is>
      </c>
      <c r="H244" t="n">
        <v>5</v>
      </c>
      <c r="I244" s="5" t="n">
        <v>199.99</v>
      </c>
      <c r="J244" t="inlineStr">
        <is>
          <t>Debit Card</t>
        </is>
      </c>
      <c r="K244" t="inlineStr">
        <is>
          <t>West</t>
        </is>
      </c>
      <c r="L244" t="inlineStr">
        <is>
          <t>Premium</t>
        </is>
      </c>
      <c r="M244" s="4" t="n">
        <v>44462</v>
      </c>
      <c r="N244" s="5" t="n">
        <v>999.95</v>
      </c>
    </row>
    <row r="245">
      <c r="A245" t="inlineStr">
        <is>
          <t>TRX0244</t>
        </is>
      </c>
      <c r="B245" s="4" t="n">
        <v>45747</v>
      </c>
      <c r="C245" t="inlineStr">
        <is>
          <t>CUST043</t>
        </is>
      </c>
      <c r="D245" t="inlineStr">
        <is>
          <t>Dennis Gray</t>
        </is>
      </c>
      <c r="E245" t="inlineStr">
        <is>
          <t>P002</t>
        </is>
      </c>
      <c r="F245" t="inlineStr">
        <is>
          <t>Smartphone</t>
        </is>
      </c>
      <c r="G245" t="inlineStr">
        <is>
          <t>Electronics</t>
        </is>
      </c>
      <c r="H245" t="n">
        <v>1</v>
      </c>
      <c r="I245" s="5" t="n">
        <v>699.99</v>
      </c>
      <c r="J245" t="inlineStr">
        <is>
          <t>PayPal</t>
        </is>
      </c>
      <c r="K245" t="inlineStr">
        <is>
          <t>West</t>
        </is>
      </c>
      <c r="L245" t="inlineStr">
        <is>
          <t>Premium</t>
        </is>
      </c>
      <c r="M245" s="4" t="n">
        <v>45038</v>
      </c>
      <c r="N245" s="5" t="n">
        <v>699.99</v>
      </c>
    </row>
    <row r="246">
      <c r="A246" t="inlineStr">
        <is>
          <t>TRX0245</t>
        </is>
      </c>
      <c r="B246" s="4" t="n">
        <v>45747</v>
      </c>
      <c r="C246" t="inlineStr">
        <is>
          <t>CUST028</t>
        </is>
      </c>
      <c r="D246" t="inlineStr">
        <is>
          <t>Betty Campbell</t>
        </is>
      </c>
      <c r="E246" t="inlineStr">
        <is>
          <t>P010</t>
        </is>
      </c>
      <c r="F246" t="inlineStr">
        <is>
          <t>Keyboard</t>
        </is>
      </c>
      <c r="G246" t="inlineStr">
        <is>
          <t>Electronics</t>
        </is>
      </c>
      <c r="H246" t="n">
        <v>1</v>
      </c>
      <c r="I246" s="5" t="n">
        <v>89.98999999999999</v>
      </c>
      <c r="J246" t="inlineStr">
        <is>
          <t>Debit Card</t>
        </is>
      </c>
      <c r="K246" t="inlineStr">
        <is>
          <t>North</t>
        </is>
      </c>
      <c r="L246" t="inlineStr">
        <is>
          <t>Standard</t>
        </is>
      </c>
      <c r="M246" s="4" t="n">
        <v>45151</v>
      </c>
      <c r="N246" s="5" t="n">
        <v>89.98999999999999</v>
      </c>
    </row>
    <row r="247">
      <c r="A247" t="inlineStr">
        <is>
          <t>TRX0246</t>
        </is>
      </c>
      <c r="B247" s="4" t="n">
        <v>45749</v>
      </c>
      <c r="C247" t="inlineStr">
        <is>
          <t>CUST047</t>
        </is>
      </c>
      <c r="D247" t="inlineStr">
        <is>
          <t>Gerald Murphy</t>
        </is>
      </c>
      <c r="E247" t="inlineStr">
        <is>
          <t>P009</t>
        </is>
      </c>
      <c r="F247" t="inlineStr">
        <is>
          <t>Monitor</t>
        </is>
      </c>
      <c r="G247" t="inlineStr">
        <is>
          <t>Electronics</t>
        </is>
      </c>
      <c r="H247" t="n">
        <v>3</v>
      </c>
      <c r="I247" s="5" t="n">
        <v>249.99</v>
      </c>
      <c r="J247" t="inlineStr">
        <is>
          <t>Credit Card</t>
        </is>
      </c>
      <c r="K247" t="inlineStr">
        <is>
          <t>South</t>
        </is>
      </c>
      <c r="L247" t="inlineStr">
        <is>
          <t>Standard</t>
        </is>
      </c>
      <c r="M247" s="4" t="n">
        <v>45226</v>
      </c>
      <c r="N247" s="5" t="n">
        <v>749.97</v>
      </c>
    </row>
    <row r="248">
      <c r="A248" t="inlineStr">
        <is>
          <t>TRX0247</t>
        </is>
      </c>
      <c r="B248" s="4" t="n">
        <v>45750</v>
      </c>
      <c r="C248" t="inlineStr">
        <is>
          <t>CUST004</t>
        </is>
      </c>
      <c r="D248" t="inlineStr">
        <is>
          <t>Sarah Davis</t>
        </is>
      </c>
      <c r="E248" t="inlineStr">
        <is>
          <t>P002</t>
        </is>
      </c>
      <c r="F248" t="inlineStr">
        <is>
          <t>Smartphone</t>
        </is>
      </c>
      <c r="G248" t="inlineStr">
        <is>
          <t>Electronics</t>
        </is>
      </c>
      <c r="H248" t="n">
        <v>5</v>
      </c>
      <c r="I248" s="5" t="n">
        <v>699.99</v>
      </c>
      <c r="J248" t="inlineStr">
        <is>
          <t>Debit Card</t>
        </is>
      </c>
      <c r="K248" t="inlineStr">
        <is>
          <t>South</t>
        </is>
      </c>
      <c r="L248" t="inlineStr">
        <is>
          <t>Basic</t>
        </is>
      </c>
      <c r="M248" s="4" t="n">
        <v>44857</v>
      </c>
      <c r="N248" s="5" t="n">
        <v>3499.95</v>
      </c>
    </row>
    <row r="249">
      <c r="A249" t="inlineStr">
        <is>
          <t>TRX0248</t>
        </is>
      </c>
      <c r="B249" s="4" t="n">
        <v>45755</v>
      </c>
      <c r="C249" t="inlineStr">
        <is>
          <t>CUST049</t>
        </is>
      </c>
      <c r="D249" t="inlineStr">
        <is>
          <t>Raymond Ross</t>
        </is>
      </c>
      <c r="E249" t="inlineStr">
        <is>
          <t>P004</t>
        </is>
      </c>
      <c r="F249" t="inlineStr">
        <is>
          <t>Coffee Maker</t>
        </is>
      </c>
      <c r="G249" t="inlineStr">
        <is>
          <t>Appliances</t>
        </is>
      </c>
      <c r="H249" t="n">
        <v>3</v>
      </c>
      <c r="I249" s="5" t="n">
        <v>79.98999999999999</v>
      </c>
      <c r="J249" t="inlineStr">
        <is>
          <t>Debit Card</t>
        </is>
      </c>
      <c r="K249" t="inlineStr">
        <is>
          <t>North</t>
        </is>
      </c>
      <c r="L249" t="inlineStr">
        <is>
          <t>Standard</t>
        </is>
      </c>
      <c r="M249" s="4" t="n">
        <v>44599</v>
      </c>
      <c r="N249" s="5" t="n">
        <v>239.97</v>
      </c>
    </row>
    <row r="250">
      <c r="A250" t="inlineStr">
        <is>
          <t>TRX0249</t>
        </is>
      </c>
      <c r="B250" s="4" t="n">
        <v>45753</v>
      </c>
      <c r="C250" t="inlineStr">
        <is>
          <t>CUST044</t>
        </is>
      </c>
      <c r="D250" t="inlineStr">
        <is>
          <t>Cynthia Price</t>
        </is>
      </c>
      <c r="E250" t="inlineStr">
        <is>
          <t>P009</t>
        </is>
      </c>
      <c r="F250" t="inlineStr">
        <is>
          <t>Monitor</t>
        </is>
      </c>
      <c r="G250" t="inlineStr">
        <is>
          <t>Electronics</t>
        </is>
      </c>
      <c r="H250" t="n">
        <v>3</v>
      </c>
      <c r="I250" s="5" t="n">
        <v>249.99</v>
      </c>
      <c r="J250" t="inlineStr">
        <is>
          <t>Debit Card</t>
        </is>
      </c>
      <c r="K250" t="inlineStr">
        <is>
          <t>Central</t>
        </is>
      </c>
      <c r="L250" t="inlineStr">
        <is>
          <t>Premium</t>
        </is>
      </c>
      <c r="M250" s="4" t="n">
        <v>44388</v>
      </c>
      <c r="N250" s="5" t="n">
        <v>749.97</v>
      </c>
    </row>
    <row r="251">
      <c r="A251" t="inlineStr">
        <is>
          <t>TRX0250</t>
        </is>
      </c>
      <c r="B251" s="4" t="n">
        <v>45758</v>
      </c>
      <c r="C251" t="inlineStr">
        <is>
          <t>CUST034</t>
        </is>
      </c>
      <c r="D251" t="inlineStr">
        <is>
          <t>Carol Evans</t>
        </is>
      </c>
      <c r="E251" t="inlineStr">
        <is>
          <t>P003</t>
        </is>
      </c>
      <c r="F251" t="inlineStr">
        <is>
          <t>Headphones</t>
        </is>
      </c>
      <c r="G251" t="inlineStr">
        <is>
          <t>Electronics</t>
        </is>
      </c>
      <c r="H251" t="n">
        <v>5</v>
      </c>
      <c r="I251" s="5" t="n">
        <v>149.99</v>
      </c>
      <c r="J251" t="inlineStr">
        <is>
          <t>Credit Card</t>
        </is>
      </c>
      <c r="K251" t="inlineStr">
        <is>
          <t>South</t>
        </is>
      </c>
      <c r="L251" t="inlineStr">
        <is>
          <t>Premium</t>
        </is>
      </c>
      <c r="M251" s="4" t="n">
        <v>44888</v>
      </c>
      <c r="N251" s="5" t="n">
        <v>749.95</v>
      </c>
    </row>
  </sheetData>
  <autoFilter ref="A1:N251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6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6" t="inlineStr">
        <is>
          <t>ANALYSIS &amp; WHAT-IF MODEL</t>
        </is>
      </c>
    </row>
    <row r="3">
      <c r="A3" t="inlineStr">
        <is>
          <t>Last refreshed</t>
        </is>
      </c>
      <c r="B3" s="7">
        <f>NOW()</f>
        <v/>
      </c>
    </row>
    <row r="4">
      <c r="A4" t="inlineStr">
        <is>
          <t>Timestamp note</t>
        </is>
      </c>
      <c r="B4" t="inlineStr">
        <is>
          <t>Iterative calculation is enabled to retain a circular NOW() timestamp.</t>
        </is>
      </c>
    </row>
    <row r="6">
      <c r="A6" s="8" t="inlineStr">
        <is>
          <t>KPI</t>
        </is>
      </c>
      <c r="B6" s="8" t="inlineStr">
        <is>
          <t>Value</t>
        </is>
      </c>
    </row>
    <row r="7">
      <c r="A7" t="inlineStr">
        <is>
          <t>Total Revenue</t>
        </is>
      </c>
      <c r="B7" s="9">
        <f>SUM(Transactions[Total_Amount])</f>
        <v/>
      </c>
    </row>
    <row r="8">
      <c r="A8" t="inlineStr">
        <is>
          <t>Transaction Count</t>
        </is>
      </c>
      <c r="B8" s="10">
        <f>COUNTA(Transactions[Transaction_ID])</f>
        <v/>
      </c>
    </row>
    <row r="9">
      <c r="A9" t="inlineStr">
        <is>
          <t>Units Sold</t>
        </is>
      </c>
      <c r="B9" s="10">
        <f>SUM(Transactions[Quantity])</f>
        <v/>
      </c>
    </row>
    <row r="10">
      <c r="A10" t="inlineStr">
        <is>
          <t>Average Order Value</t>
        </is>
      </c>
      <c r="B10" s="9">
        <f>IFERROR(B7/B8,0)</f>
        <v/>
      </c>
    </row>
    <row r="11">
      <c r="A11" t="inlineStr">
        <is>
          <t>Unique Customers</t>
        </is>
      </c>
      <c r="B11" s="10">
        <f>SUMPRODUCT((Transactions[Customer_ID]&lt;&gt;"")/COUNTIF(Transactions[Customer_ID],Transactions[Customer_ID]&amp;""))</f>
        <v/>
      </c>
    </row>
    <row r="12">
      <c r="A12" t="inlineStr">
        <is>
          <t>Revenue Growth Assumption</t>
        </is>
      </c>
      <c r="B12" s="11" t="n">
        <v>0.1</v>
      </c>
    </row>
    <row r="13">
      <c r="A13" t="inlineStr">
        <is>
          <t>Projected Revenue</t>
        </is>
      </c>
      <c r="B13" s="9">
        <f>B7*(1+B12)</f>
        <v/>
      </c>
    </row>
    <row r="14">
      <c r="A14" t="inlineStr">
        <is>
          <t>Days Since First Sale</t>
        </is>
      </c>
      <c r="B14">
        <f>DATEDIF(MIN(Transactions[Date]),TODAY(),"d")</f>
        <v/>
      </c>
    </row>
    <row r="16">
      <c r="A16" s="8" t="inlineStr">
        <is>
          <t>Monthly Revenue</t>
        </is>
      </c>
      <c r="B16" s="8" t="inlineStr">
        <is>
          <t>Units Sold</t>
        </is>
      </c>
      <c r="C16" s="8" t="inlineStr">
        <is>
          <t>Month End</t>
        </is>
      </c>
      <c r="E16" s="8" t="inlineStr">
        <is>
          <t>Region</t>
        </is>
      </c>
      <c r="F16" s="8" t="inlineStr">
        <is>
          <t>Revenue</t>
        </is>
      </c>
      <c r="H16" s="8" t="inlineStr">
        <is>
          <t>Category</t>
        </is>
      </c>
      <c r="I16" s="8" t="inlineStr">
        <is>
          <t>Revenue</t>
        </is>
      </c>
      <c r="K16" s="8" t="inlineStr">
        <is>
          <t>Customer</t>
        </is>
      </c>
      <c r="L16" s="8" t="inlineStr">
        <is>
          <t>Revenue</t>
        </is>
      </c>
      <c r="N16" s="8" t="inlineStr">
        <is>
          <t>Top Customer</t>
        </is>
      </c>
      <c r="O16" s="8" t="inlineStr">
        <is>
          <t>Revenue</t>
        </is>
      </c>
      <c r="Q16" s="8" t="inlineStr">
        <is>
          <t>Product</t>
        </is>
      </c>
      <c r="R16" s="8" t="inlineStr">
        <is>
          <t>Units</t>
        </is>
      </c>
    </row>
    <row r="17">
      <c r="A17" s="9">
        <f>SUMIFS(Transactions[Total_Amount],Transactions[Date],"&gt;"&amp;EOMONTH(C17,-1),Transactions[Date],"&lt;="&amp;C17)</f>
        <v/>
      </c>
      <c r="B17">
        <f>SUMIFS(Transactions[Quantity],Transactions[Date],"&gt;"&amp;EOMONTH(C17,-1),Transactions[Date],"&lt;="&amp;C17)</f>
        <v/>
      </c>
      <c r="C17" s="12">
        <f>EOMONTH(MIN(Transactions[Date]),0)</f>
        <v/>
      </c>
      <c r="E17" t="inlineStr">
        <is>
          <t>Central</t>
        </is>
      </c>
      <c r="F17" s="9">
        <f>SUMIF(Transactions[Region],E17,Transactions[Total_Amount])</f>
        <v/>
      </c>
      <c r="H17" t="inlineStr">
        <is>
          <t>Appliances</t>
        </is>
      </c>
      <c r="I17" s="9">
        <f>SUMIF(Transactions[Category],H17,Transactions[Total_Amount])</f>
        <v/>
      </c>
      <c r="K17" t="inlineStr">
        <is>
          <t>John Smith</t>
        </is>
      </c>
      <c r="L17" s="9">
        <f>SUMIF(Transactions[Customer_ID],"CUST001",Transactions[Total_Amount])</f>
        <v/>
      </c>
      <c r="N17">
        <f>INDEX(K17:K63,MATCH(MAX(L17:L63),L17:L63,0))</f>
        <v/>
      </c>
      <c r="O17" s="9">
        <f>MAX(L17:L63)</f>
        <v/>
      </c>
      <c r="Q17" t="inlineStr">
        <is>
          <t>Laptop</t>
        </is>
      </c>
      <c r="R17">
        <f>SUMIF(Transactions[Product_Name],Q17,Transactions[Quantity])</f>
        <v/>
      </c>
    </row>
    <row r="18">
      <c r="A18" s="9">
        <f>SUMIFS(Transactions[Total_Amount],Transactions[Date],"&gt;"&amp;EOMONTH(C18,-1),Transactions[Date],"&lt;="&amp;C18)</f>
        <v/>
      </c>
      <c r="B18">
        <f>SUMIFS(Transactions[Quantity],Transactions[Date],"&gt;"&amp;EOMONTH(C18,-1),Transactions[Date],"&lt;="&amp;C18)</f>
        <v/>
      </c>
      <c r="C18" s="12">
        <f>EOMONTH(C17,1)</f>
        <v/>
      </c>
      <c r="E18" t="inlineStr">
        <is>
          <t>East</t>
        </is>
      </c>
      <c r="F18" s="9">
        <f>SUMIF(Transactions[Region],E18,Transactions[Total_Amount])</f>
        <v/>
      </c>
      <c r="H18" t="inlineStr">
        <is>
          <t>Electronics</t>
        </is>
      </c>
      <c r="I18" s="9">
        <f>SUMIF(Transactions[Category],H18,Transactions[Total_Amount])</f>
        <v/>
      </c>
      <c r="K18" t="inlineStr">
        <is>
          <t>Emma Wilson</t>
        </is>
      </c>
      <c r="L18" s="9">
        <f>SUMIF(Transactions[Customer_ID],"CUST002",Transactions[Total_Amount])</f>
        <v/>
      </c>
      <c r="Q18" t="inlineStr">
        <is>
          <t>Smartphone</t>
        </is>
      </c>
      <c r="R18">
        <f>SUMIF(Transactions[Product_Name],Q18,Transactions[Quantity])</f>
        <v/>
      </c>
    </row>
    <row r="19">
      <c r="A19" s="9">
        <f>SUMIFS(Transactions[Total_Amount],Transactions[Date],"&gt;"&amp;EOMONTH(C19,-1),Transactions[Date],"&lt;="&amp;C19)</f>
        <v/>
      </c>
      <c r="B19">
        <f>SUMIFS(Transactions[Quantity],Transactions[Date],"&gt;"&amp;EOMONTH(C19,-1),Transactions[Date],"&lt;="&amp;C19)</f>
        <v/>
      </c>
      <c r="C19" s="12">
        <f>EOMONTH(C18,1)</f>
        <v/>
      </c>
      <c r="E19" t="inlineStr">
        <is>
          <t>North</t>
        </is>
      </c>
      <c r="F19" s="9">
        <f>SUMIF(Transactions[Region],E19,Transactions[Total_Amount])</f>
        <v/>
      </c>
      <c r="H19" t="inlineStr">
        <is>
          <t>Furniture</t>
        </is>
      </c>
      <c r="I19" s="9">
        <f>SUMIF(Transactions[Category],H19,Transactions[Total_Amount])</f>
        <v/>
      </c>
      <c r="K19" t="inlineStr">
        <is>
          <t>Michael Brown</t>
        </is>
      </c>
      <c r="L19" s="9">
        <f>SUMIF(Transactions[Customer_ID],"CUST003",Transactions[Total_Amount])</f>
        <v/>
      </c>
      <c r="N19" s="8" t="inlineStr">
        <is>
          <t>Top Product</t>
        </is>
      </c>
      <c r="O19" s="8" t="inlineStr">
        <is>
          <t>Units</t>
        </is>
      </c>
      <c r="Q19" t="inlineStr">
        <is>
          <t>Headphones</t>
        </is>
      </c>
      <c r="R19">
        <f>SUMIF(Transactions[Product_Name],Q19,Transactions[Quantity])</f>
        <v/>
      </c>
    </row>
    <row r="20">
      <c r="A20" s="9">
        <f>SUMIFS(Transactions[Total_Amount],Transactions[Date],"&gt;"&amp;EOMONTH(C20,-1),Transactions[Date],"&lt;="&amp;C20)</f>
        <v/>
      </c>
      <c r="B20">
        <f>SUMIFS(Transactions[Quantity],Transactions[Date],"&gt;"&amp;EOMONTH(C20,-1),Transactions[Date],"&lt;="&amp;C20)</f>
        <v/>
      </c>
      <c r="C20" s="12">
        <f>EOMONTH(C19,1)</f>
        <v/>
      </c>
      <c r="E20" t="inlineStr">
        <is>
          <t>South</t>
        </is>
      </c>
      <c r="F20" s="9">
        <f>SUMIF(Transactions[Region],E20,Transactions[Total_Amount])</f>
        <v/>
      </c>
      <c r="K20" t="inlineStr">
        <is>
          <t>Sarah Davis</t>
        </is>
      </c>
      <c r="L20" s="9">
        <f>SUMIF(Transactions[Customer_ID],"CUST004",Transactions[Total_Amount])</f>
        <v/>
      </c>
      <c r="N20">
        <f>INDEX(Q17:Q26,MATCH(MAX(R17:R26),R17:R26,0))</f>
        <v/>
      </c>
      <c r="O20">
        <f>MAX(R17:R26)</f>
        <v/>
      </c>
      <c r="Q20" t="inlineStr">
        <is>
          <t>Coffee Maker</t>
        </is>
      </c>
      <c r="R20">
        <f>SUMIF(Transactions[Product_Name],Q20,Transactions[Quantity])</f>
        <v/>
      </c>
    </row>
    <row r="21">
      <c r="A21" s="9">
        <f>SUMIFS(Transactions[Total_Amount],Transactions[Date],"&gt;"&amp;EOMONTH(C21,-1),Transactions[Date],"&lt;="&amp;C21)</f>
        <v/>
      </c>
      <c r="B21">
        <f>SUMIFS(Transactions[Quantity],Transactions[Date],"&gt;"&amp;EOMONTH(C21,-1),Transactions[Date],"&lt;="&amp;C21)</f>
        <v/>
      </c>
      <c r="C21" s="12">
        <f>EOMONTH(C20,1)</f>
        <v/>
      </c>
      <c r="E21" t="inlineStr">
        <is>
          <t>West</t>
        </is>
      </c>
      <c r="F21" s="9">
        <f>SUMIF(Transactions[Region],E21,Transactions[Total_Amount])</f>
        <v/>
      </c>
      <c r="K21" t="inlineStr">
        <is>
          <t>Lisa Anderson</t>
        </is>
      </c>
      <c r="L21" s="9">
        <f>SUMIF(Transactions[Customer_ID],"CUST006",Transactions[Total_Amount])</f>
        <v/>
      </c>
      <c r="Q21" t="inlineStr">
        <is>
          <t>Blender</t>
        </is>
      </c>
      <c r="R21">
        <f>SUMIF(Transactions[Product_Name],Q21,Transactions[Quantity])</f>
        <v/>
      </c>
    </row>
    <row r="22">
      <c r="A22" s="9">
        <f>SUMIFS(Transactions[Total_Amount],Transactions[Date],"&gt;"&amp;EOMONTH(C22,-1),Transactions[Date],"&lt;="&amp;C22)</f>
        <v/>
      </c>
      <c r="B22">
        <f>SUMIFS(Transactions[Quantity],Transactions[Date],"&gt;"&amp;EOMONTH(C22,-1),Transactions[Date],"&lt;="&amp;C22)</f>
        <v/>
      </c>
      <c r="C22" s="12">
        <f>EOMONTH(C21,1)</f>
        <v/>
      </c>
      <c r="K22" t="inlineStr">
        <is>
          <t>David Martinez</t>
        </is>
      </c>
      <c r="L22" s="9">
        <f>SUMIF(Transactions[Customer_ID],"CUST007",Transactions[Total_Amount])</f>
        <v/>
      </c>
      <c r="Q22" t="inlineStr">
        <is>
          <t>Office Chair</t>
        </is>
      </c>
      <c r="R22">
        <f>SUMIF(Transactions[Product_Name],Q22,Transactions[Quantity])</f>
        <v/>
      </c>
    </row>
    <row r="23">
      <c r="A23" s="9">
        <f>SUMIFS(Transactions[Total_Amount],Transactions[Date],"&gt;"&amp;EOMONTH(C23,-1),Transactions[Date],"&lt;="&amp;C23)</f>
        <v/>
      </c>
      <c r="B23">
        <f>SUMIFS(Transactions[Quantity],Transactions[Date],"&gt;"&amp;EOMONTH(C23,-1),Transactions[Date],"&lt;="&amp;C23)</f>
        <v/>
      </c>
      <c r="C23" s="12">
        <f>EOMONTH(C22,1)</f>
        <v/>
      </c>
      <c r="K23" t="inlineStr">
        <is>
          <t>Jennifer Taylor</t>
        </is>
      </c>
      <c r="L23" s="9">
        <f>SUMIF(Transactions[Customer_ID],"CUST008",Transactions[Total_Amount])</f>
        <v/>
      </c>
      <c r="Q23" t="inlineStr">
        <is>
          <t>Desk</t>
        </is>
      </c>
      <c r="R23">
        <f>SUMIF(Transactions[Product_Name],Q23,Transactions[Quantity])</f>
        <v/>
      </c>
    </row>
    <row r="24">
      <c r="A24" s="9">
        <f>SUMIFS(Transactions[Total_Amount],Transactions[Date],"&gt;"&amp;EOMONTH(C24,-1),Transactions[Date],"&lt;="&amp;C24)</f>
        <v/>
      </c>
      <c r="B24">
        <f>SUMIFS(Transactions[Quantity],Transactions[Date],"&gt;"&amp;EOMONTH(C24,-1),Transactions[Date],"&lt;="&amp;C24)</f>
        <v/>
      </c>
      <c r="C24" s="12">
        <f>EOMONTH(C23,1)</f>
        <v/>
      </c>
      <c r="K24" t="inlineStr">
        <is>
          <t>Robert Thomas</t>
        </is>
      </c>
      <c r="L24" s="9">
        <f>SUMIF(Transactions[Customer_ID],"CUST009",Transactions[Total_Amount])</f>
        <v/>
      </c>
      <c r="Q24" t="inlineStr">
        <is>
          <t>Bookshelf</t>
        </is>
      </c>
      <c r="R24">
        <f>SUMIF(Transactions[Product_Name],Q24,Transactions[Quantity])</f>
        <v/>
      </c>
    </row>
    <row r="25">
      <c r="A25" s="9">
        <f>SUMIFS(Transactions[Total_Amount],Transactions[Date],"&gt;"&amp;EOMONTH(C25,-1),Transactions[Date],"&lt;="&amp;C25)</f>
        <v/>
      </c>
      <c r="B25">
        <f>SUMIFS(Transactions[Quantity],Transactions[Date],"&gt;"&amp;EOMONTH(C25,-1),Transactions[Date],"&lt;="&amp;C25)</f>
        <v/>
      </c>
      <c r="C25" s="12">
        <f>EOMONTH(C24,1)</f>
        <v/>
      </c>
      <c r="K25" t="inlineStr">
        <is>
          <t>Maria Garcia</t>
        </is>
      </c>
      <c r="L25" s="9">
        <f>SUMIF(Transactions[Customer_ID],"CUST010",Transactions[Total_Amount])</f>
        <v/>
      </c>
      <c r="Q25" t="inlineStr">
        <is>
          <t>Monitor</t>
        </is>
      </c>
      <c r="R25">
        <f>SUMIF(Transactions[Product_Name],Q25,Transactions[Quantity])</f>
        <v/>
      </c>
    </row>
    <row r="26">
      <c r="A26" s="9">
        <f>SUMIFS(Transactions[Total_Amount],Transactions[Date],"&gt;"&amp;EOMONTH(C26,-1),Transactions[Date],"&lt;="&amp;C26)</f>
        <v/>
      </c>
      <c r="B26">
        <f>SUMIFS(Transactions[Quantity],Transactions[Date],"&gt;"&amp;EOMONTH(C26,-1),Transactions[Date],"&lt;="&amp;C26)</f>
        <v/>
      </c>
      <c r="C26" s="12">
        <f>EOMONTH(C25,1)</f>
        <v/>
      </c>
      <c r="K26" t="inlineStr">
        <is>
          <t>William White</t>
        </is>
      </c>
      <c r="L26" s="9">
        <f>SUMIF(Transactions[Customer_ID],"CUST011",Transactions[Total_Amount])</f>
        <v/>
      </c>
      <c r="Q26" t="inlineStr">
        <is>
          <t>Keyboard</t>
        </is>
      </c>
      <c r="R26">
        <f>SUMIF(Transactions[Product_Name],Q26,Transactions[Quantity])</f>
        <v/>
      </c>
    </row>
    <row r="27">
      <c r="A27" s="9">
        <f>SUMIFS(Transactions[Total_Amount],Transactions[Date],"&gt;"&amp;EOMONTH(C27,-1),Transactions[Date],"&lt;="&amp;C27)</f>
        <v/>
      </c>
      <c r="B27">
        <f>SUMIFS(Transactions[Quantity],Transactions[Date],"&gt;"&amp;EOMONTH(C27,-1),Transactions[Date],"&lt;="&amp;C27)</f>
        <v/>
      </c>
      <c r="C27" s="12">
        <f>EOMONTH(C26,1)</f>
        <v/>
      </c>
      <c r="K27" t="inlineStr">
        <is>
          <t>Patricia Moore</t>
        </is>
      </c>
      <c r="L27" s="9">
        <f>SUMIF(Transactions[Customer_ID],"CUST012",Transactions[Total_Amount])</f>
        <v/>
      </c>
    </row>
    <row r="28">
      <c r="A28" s="9">
        <f>SUMIFS(Transactions[Total_Amount],Transactions[Date],"&gt;"&amp;EOMONTH(C28,-1),Transactions[Date],"&lt;="&amp;C28)</f>
        <v/>
      </c>
      <c r="B28">
        <f>SUMIFS(Transactions[Quantity],Transactions[Date],"&gt;"&amp;EOMONTH(C28,-1),Transactions[Date],"&lt;="&amp;C28)</f>
        <v/>
      </c>
      <c r="C28" s="12">
        <f>EOMONTH(C27,1)</f>
        <v/>
      </c>
      <c r="K28" t="inlineStr">
        <is>
          <t>Joseph Jackson</t>
        </is>
      </c>
      <c r="L28" s="9">
        <f>SUMIF(Transactions[Customer_ID],"CUST013",Transactions[Total_Amount])</f>
        <v/>
      </c>
    </row>
    <row r="29">
      <c r="A29" s="9">
        <f>SUMIFS(Transactions[Total_Amount],Transactions[Date],"&gt;"&amp;EOMONTH(C29,-1),Transactions[Date],"&lt;="&amp;C29)</f>
        <v/>
      </c>
      <c r="B29">
        <f>SUMIFS(Transactions[Quantity],Transactions[Date],"&gt;"&amp;EOMONTH(C29,-1),Transactions[Date],"&lt;="&amp;C29)</f>
        <v/>
      </c>
      <c r="C29" s="12">
        <f>EOMONTH(C28,1)</f>
        <v/>
      </c>
      <c r="K29" t="inlineStr">
        <is>
          <t>Linda Martin</t>
        </is>
      </c>
      <c r="L29" s="9">
        <f>SUMIF(Transactions[Customer_ID],"CUST014",Transactions[Total_Amount])</f>
        <v/>
      </c>
    </row>
    <row r="30">
      <c r="A30" s="9">
        <f>SUMIFS(Transactions[Total_Amount],Transactions[Date],"&gt;"&amp;EOMONTH(C30,-1),Transactions[Date],"&lt;="&amp;C30)</f>
        <v/>
      </c>
      <c r="B30">
        <f>SUMIFS(Transactions[Quantity],Transactions[Date],"&gt;"&amp;EOMONTH(C30,-1),Transactions[Date],"&lt;="&amp;C30)</f>
        <v/>
      </c>
      <c r="C30" s="12">
        <f>EOMONTH(C29,1)</f>
        <v/>
      </c>
      <c r="K30" t="inlineStr">
        <is>
          <t>Richard Lee</t>
        </is>
      </c>
      <c r="L30" s="9">
        <f>SUMIF(Transactions[Customer_ID],"CUST015",Transactions[Total_Amount])</f>
        <v/>
      </c>
    </row>
    <row r="31">
      <c r="K31" t="inlineStr">
        <is>
          <t>Elizabeth Hall</t>
        </is>
      </c>
      <c r="L31" s="9">
        <f>SUMIF(Transactions[Customer_ID],"CUST016",Transactions[Total_Amount])</f>
        <v/>
      </c>
    </row>
    <row r="32">
      <c r="K32" t="inlineStr">
        <is>
          <t>Charles Allen</t>
        </is>
      </c>
      <c r="L32" s="9">
        <f>SUMIF(Transactions[Customer_ID],"CUST017",Transactions[Total_Amount])</f>
        <v/>
      </c>
    </row>
    <row r="33">
      <c r="K33" t="inlineStr">
        <is>
          <t>Barbara Young</t>
        </is>
      </c>
      <c r="L33" s="9">
        <f>SUMIF(Transactions[Customer_ID],"CUST018",Transactions[Total_Amount])</f>
        <v/>
      </c>
    </row>
    <row r="34">
      <c r="A34" t="inlineStr">
        <is>
          <t>Regression (monthly revenue)</t>
        </is>
      </c>
      <c r="D34" t="inlineStr">
        <is>
          <t>Most frequent product</t>
        </is>
      </c>
      <c r="E34">
        <f>N20</f>
        <v/>
      </c>
      <c r="G34" t="inlineStr">
        <is>
          <t>Dynamic FILTER example</t>
        </is>
      </c>
      <c r="K34" t="inlineStr">
        <is>
          <t>Daniel King</t>
        </is>
      </c>
      <c r="L34" s="9">
        <f>SUMIF(Transactions[Customer_ID],"CUST019",Transactions[Total_Amount])</f>
        <v/>
      </c>
    </row>
    <row r="35">
      <c r="A35" t="inlineStr">
        <is>
          <t>Slope</t>
        </is>
      </c>
      <c r="B35">
        <f>SLOPE(A17:A30,ROW(A17:A30)-ROW(A17)+1)</f>
        <v/>
      </c>
      <c r="D35" t="inlineStr">
        <is>
          <t>Top customer name</t>
        </is>
      </c>
      <c r="E35">
        <f>N17</f>
        <v/>
      </c>
      <c r="G35">
        <f>FILTER(Transactions[[Customer_Name]:[Total_Amount]],Transactions[Region]=Dashboard!B6,"No matching records")</f>
        <v/>
      </c>
      <c r="K35" t="inlineStr">
        <is>
          <t>Margaret Wright</t>
        </is>
      </c>
      <c r="L35" s="9">
        <f>SUMIF(Transactions[Customer_ID],"CUST020",Transactions[Total_Amount])</f>
        <v/>
      </c>
    </row>
    <row r="36">
      <c r="A36" t="inlineStr">
        <is>
          <t>Intercept</t>
        </is>
      </c>
      <c r="B36">
        <f>INTERCEPT(A17:A30,ROW(A17:A30)-ROW(A17)+1)</f>
        <v/>
      </c>
      <c r="K36" t="inlineStr">
        <is>
          <t>Kevin Scott</t>
        </is>
      </c>
      <c r="L36" s="9">
        <f>SUMIF(Transactions[Customer_ID],"CUST021",Transactions[Total_Amount])</f>
        <v/>
      </c>
    </row>
    <row r="37">
      <c r="D37" t="inlineStr">
        <is>
          <t>High-value customers</t>
        </is>
      </c>
      <c r="K37" t="inlineStr">
        <is>
          <t>Susan Green</t>
        </is>
      </c>
      <c r="L37" s="9">
        <f>SUMIF(Transactions[Customer_ID],"CUST022",Transactions[Total_Amount])</f>
        <v/>
      </c>
    </row>
    <row r="38">
      <c r="D38" s="8" t="inlineStr">
        <is>
          <t>Customer</t>
        </is>
      </c>
      <c r="E38" s="8" t="inlineStr">
        <is>
          <t>Revenue</t>
        </is>
      </c>
      <c r="K38" t="inlineStr">
        <is>
          <t>Paul Baker</t>
        </is>
      </c>
      <c r="L38" s="9">
        <f>SUMIF(Transactions[Customer_ID],"CUST023",Transactions[Total_Amount])</f>
        <v/>
      </c>
    </row>
    <row r="39">
      <c r="D39">
        <f>IFERROR(INDEX($K$17:$K$63,MATCH(LARGE($L$17:$L$63,1),$L$17:$L$63,0)),"")</f>
        <v/>
      </c>
      <c r="E39" s="9">
        <f>IFERROR(LARGE($L$17:$L$63,1),"")</f>
        <v/>
      </c>
      <c r="K39" t="inlineStr">
        <is>
          <t>Dorothy Nelson</t>
        </is>
      </c>
      <c r="L39" s="9">
        <f>SUMIF(Transactions[Customer_ID],"CUST024",Transactions[Total_Amount])</f>
        <v/>
      </c>
    </row>
    <row r="40">
      <c r="D40">
        <f>IFERROR(INDEX($K$17:$K$63,MATCH(LARGE($L$17:$L$63,2),$L$17:$L$63,0)),"")</f>
        <v/>
      </c>
      <c r="E40" s="9">
        <f>IFERROR(LARGE($L$17:$L$63,2),"")</f>
        <v/>
      </c>
      <c r="K40" t="inlineStr">
        <is>
          <t>Mark Carter</t>
        </is>
      </c>
      <c r="L40" s="9">
        <f>SUMIF(Transactions[Customer_ID],"CUST025",Transactions[Total_Amount])</f>
        <v/>
      </c>
    </row>
    <row r="41">
      <c r="D41">
        <f>IFERROR(INDEX($K$17:$K$63,MATCH(LARGE($L$17:$L$63,3),$L$17:$L$63,0)),"")</f>
        <v/>
      </c>
      <c r="E41" s="9">
        <f>IFERROR(LARGE($L$17:$L$63,3),"")</f>
        <v/>
      </c>
      <c r="K41" t="inlineStr">
        <is>
          <t>Karen Hill</t>
        </is>
      </c>
      <c r="L41" s="9">
        <f>SUMIF(Transactions[Customer_ID],"CUST026",Transactions[Total_Amount])</f>
        <v/>
      </c>
    </row>
    <row r="42">
      <c r="D42">
        <f>IFERROR(INDEX($K$17:$K$63,MATCH(LARGE($L$17:$L$63,4),$L$17:$L$63,0)),"")</f>
        <v/>
      </c>
      <c r="E42" s="9">
        <f>IFERROR(LARGE($L$17:$L$63,4),"")</f>
        <v/>
      </c>
      <c r="K42" t="inlineStr">
        <is>
          <t>George Adams</t>
        </is>
      </c>
      <c r="L42" s="9">
        <f>SUMIF(Transactions[Customer_ID],"CUST027",Transactions[Total_Amount])</f>
        <v/>
      </c>
    </row>
    <row r="43">
      <c r="D43">
        <f>IFERROR(INDEX($K$17:$K$63,MATCH(LARGE($L$17:$L$63,5),$L$17:$L$63,0)),"")</f>
        <v/>
      </c>
      <c r="E43" s="9">
        <f>IFERROR(LARGE($L$17:$L$63,5),"")</f>
        <v/>
      </c>
      <c r="K43" t="inlineStr">
        <is>
          <t>Betty Campbell</t>
        </is>
      </c>
      <c r="L43" s="9">
        <f>SUMIF(Transactions[Customer_ID],"CUST028",Transactions[Total_Amount])</f>
        <v/>
      </c>
    </row>
    <row r="44">
      <c r="D44">
        <f>IFERROR(INDEX($K$17:$K$63,MATCH(LARGE($L$17:$L$63,6),$L$17:$L$63,0)),"")</f>
        <v/>
      </c>
      <c r="E44" s="9">
        <f>IFERROR(LARGE($L$17:$L$63,6),"")</f>
        <v/>
      </c>
      <c r="K44" t="inlineStr">
        <is>
          <t>Edward Mitchell</t>
        </is>
      </c>
      <c r="L44" s="9">
        <f>SUMIF(Transactions[Customer_ID],"CUST029",Transactions[Total_Amount])</f>
        <v/>
      </c>
    </row>
    <row r="45">
      <c r="D45">
        <f>IFERROR(INDEX($K$17:$K$63,MATCH(LARGE($L$17:$L$63,7),$L$17:$L$63,0)),"")</f>
        <v/>
      </c>
      <c r="E45" s="9">
        <f>IFERROR(LARGE($L$17:$L$63,7),"")</f>
        <v/>
      </c>
      <c r="K45" t="inlineStr">
        <is>
          <t>Helen Roberts</t>
        </is>
      </c>
      <c r="L45" s="9">
        <f>SUMIF(Transactions[Customer_ID],"CUST030",Transactions[Total_Amount])</f>
        <v/>
      </c>
    </row>
    <row r="46">
      <c r="D46">
        <f>IFERROR(INDEX($K$17:$K$63,MATCH(LARGE($L$17:$L$63,8),$L$17:$L$63,0)),"")</f>
        <v/>
      </c>
      <c r="E46" s="9">
        <f>IFERROR(LARGE($L$17:$L$63,8),"")</f>
        <v/>
      </c>
      <c r="K46" t="inlineStr">
        <is>
          <t>Steven Turner</t>
        </is>
      </c>
      <c r="L46" s="9">
        <f>SUMIF(Transactions[Customer_ID],"CUST031",Transactions[Total_Amount])</f>
        <v/>
      </c>
    </row>
    <row r="47">
      <c r="D47">
        <f>IFERROR(INDEX($K$17:$K$63,MATCH(LARGE($L$17:$L$63,9),$L$17:$L$63,0)),"")</f>
        <v/>
      </c>
      <c r="E47" s="9">
        <f>IFERROR(LARGE($L$17:$L$63,9),"")</f>
        <v/>
      </c>
      <c r="K47" t="inlineStr">
        <is>
          <t>Sandra Phillips</t>
        </is>
      </c>
      <c r="L47" s="9">
        <f>SUMIF(Transactions[Customer_ID],"CUST032",Transactions[Total_Amount])</f>
        <v/>
      </c>
    </row>
    <row r="48">
      <c r="D48">
        <f>IFERROR(INDEX($K$17:$K$63,MATCH(LARGE($L$17:$L$63,10),$L$17:$L$63,0)),"")</f>
        <v/>
      </c>
      <c r="E48" s="9">
        <f>IFERROR(LARGE($L$17:$L$63,10),"")</f>
        <v/>
      </c>
      <c r="K48" t="inlineStr">
        <is>
          <t>Frank Torres</t>
        </is>
      </c>
      <c r="L48" s="9">
        <f>SUMIF(Transactions[Customer_ID],"CUST033",Transactions[Total_Amount])</f>
        <v/>
      </c>
    </row>
    <row r="49">
      <c r="K49" t="inlineStr">
        <is>
          <t>Carol Evans</t>
        </is>
      </c>
      <c r="L49" s="9">
        <f>SUMIF(Transactions[Customer_ID],"CUST034",Transactions[Total_Amount])</f>
        <v/>
      </c>
    </row>
    <row r="50">
      <c r="K50" t="inlineStr">
        <is>
          <t>Harry Morgan</t>
        </is>
      </c>
      <c r="L50" s="9">
        <f>SUMIF(Transactions[Customer_ID],"CUST035",Transactions[Total_Amount])</f>
        <v/>
      </c>
    </row>
    <row r="51">
      <c r="A51" t="inlineStr">
        <is>
          <t>Name matching example</t>
        </is>
      </c>
      <c r="K51" t="inlineStr">
        <is>
          <t>Nancy Collins</t>
        </is>
      </c>
      <c r="L51" s="9">
        <f>SUMIF(Transactions[Customer_ID],"CUST036",Transactions[Total_Amount])</f>
        <v/>
      </c>
    </row>
    <row r="52">
      <c r="A52" s="8" t="inlineStr">
        <is>
          <t>Source name</t>
        </is>
      </c>
      <c r="B52" s="8" t="inlineStr">
        <is>
          <t>Comparison list</t>
        </is>
      </c>
      <c r="C52" s="8" t="inlineStr">
        <is>
          <t>Match result</t>
        </is>
      </c>
      <c r="D52" s="8" t="inlineStr">
        <is>
          <t>Abbreviation</t>
        </is>
      </c>
      <c r="K52" t="inlineStr">
        <is>
          <t>Michelle Rogers</t>
        </is>
      </c>
      <c r="L52" s="9">
        <f>SUMIF(Transactions[Customer_ID],"CUST038",Transactions[Total_Amount])</f>
        <v/>
      </c>
    </row>
    <row r="53">
      <c r="A53" t="inlineStr">
        <is>
          <t>Cynthia Price</t>
        </is>
      </c>
      <c r="B53" t="inlineStr">
        <is>
          <t>John Smith</t>
        </is>
      </c>
      <c r="C53">
        <f>IFERROR(INDEX($B$53:$B$57,MATCH(A53,$B$53:$B$57,0)),"No match")</f>
        <v/>
      </c>
      <c r="D53">
        <f>TEXTJOIN("",TRUE,LEFT(TEXTSPLIT(A53," "),1))</f>
        <v/>
      </c>
      <c r="K53" t="inlineStr">
        <is>
          <t>Lawrence Reed</t>
        </is>
      </c>
      <c r="L53" s="9">
        <f>SUMIF(Transactions[Customer_ID],"CUST039",Transactions[Total_Amount])</f>
        <v/>
      </c>
    </row>
    <row r="54">
      <c r="A54" t="inlineStr">
        <is>
          <t>Gerald Murphy</t>
        </is>
      </c>
      <c r="B54" t="inlineStr">
        <is>
          <t>Emma Wilson</t>
        </is>
      </c>
      <c r="C54">
        <f>IFERROR(INDEX($B$53:$B$57,MATCH(A54,$B$53:$B$57,0)),"No match")</f>
        <v/>
      </c>
      <c r="D54">
        <f>TEXTJOIN("",TRUE,LEFT(TEXTSPLIT(A54," "),1))</f>
        <v/>
      </c>
      <c r="K54" t="inlineStr">
        <is>
          <t>Sharon Butler</t>
        </is>
      </c>
      <c r="L54" s="9">
        <f>SUMIF(Transactions[Customer_ID],"CUST040",Transactions[Total_Amount])</f>
        <v/>
      </c>
    </row>
    <row r="55">
      <c r="A55" t="inlineStr">
        <is>
          <t>Richard Lee</t>
        </is>
      </c>
      <c r="B55" t="inlineStr">
        <is>
          <t>Michael Brown</t>
        </is>
      </c>
      <c r="C55">
        <f>IFERROR(INDEX($B$53:$B$57,MATCH(A55,$B$53:$B$57,0)),"No match")</f>
        <v/>
      </c>
      <c r="D55">
        <f>TEXTJOIN("",TRUE,LEFT(TEXTSPLIT(A55," "),1))</f>
        <v/>
      </c>
      <c r="K55" t="inlineStr">
        <is>
          <t>Peter Richardson</t>
        </is>
      </c>
      <c r="L55" s="9">
        <f>SUMIF(Transactions[Customer_ID],"CUST041",Transactions[Total_Amount])</f>
        <v/>
      </c>
    </row>
    <row r="56">
      <c r="A56" t="inlineStr">
        <is>
          <t>Betty Campbell</t>
        </is>
      </c>
      <c r="B56" t="inlineStr">
        <is>
          <t>Sarah Davis</t>
        </is>
      </c>
      <c r="C56">
        <f>IFERROR(INDEX($B$53:$B$57,MATCH(A56,$B$53:$B$57,0)),"No match")</f>
        <v/>
      </c>
      <c r="D56">
        <f>TEXTJOIN("",TRUE,LEFT(TEXTSPLIT(A56," "),1))</f>
        <v/>
      </c>
      <c r="K56" t="inlineStr">
        <is>
          <t>Dennis Gray</t>
        </is>
      </c>
      <c r="L56" s="9">
        <f>SUMIF(Transactions[Customer_ID],"CUST043",Transactions[Total_Amount])</f>
        <v/>
      </c>
    </row>
    <row r="57">
      <c r="A57" t="inlineStr">
        <is>
          <t>Paul Baker</t>
        </is>
      </c>
      <c r="B57" t="inlineStr">
        <is>
          <t>Lisa Anderson</t>
        </is>
      </c>
      <c r="C57">
        <f>IFERROR(INDEX($B$53:$B$57,MATCH(A57,$B$53:$B$57,0)),"No match")</f>
        <v/>
      </c>
      <c r="D57">
        <f>TEXTJOIN("",TRUE,LEFT(TEXTSPLIT(A57," "),1))</f>
        <v/>
      </c>
      <c r="K57" t="inlineStr">
        <is>
          <t>Cynthia Price</t>
        </is>
      </c>
      <c r="L57" s="9">
        <f>SUMIF(Transactions[Customer_ID],"CUST044",Transactions[Total_Amount])</f>
        <v/>
      </c>
    </row>
    <row r="58">
      <c r="K58" t="inlineStr">
        <is>
          <t>Douglas Watson</t>
        </is>
      </c>
      <c r="L58" s="9">
        <f>SUMIF(Transactions[Customer_ID],"CUST045",Transactions[Total_Amount])</f>
        <v/>
      </c>
    </row>
    <row r="59">
      <c r="K59" t="inlineStr">
        <is>
          <t>Kathleen Bennett</t>
        </is>
      </c>
      <c r="L59" s="9">
        <f>SUMIF(Transactions[Customer_ID],"CUST046",Transactions[Total_Amount])</f>
        <v/>
      </c>
    </row>
    <row r="60">
      <c r="K60" t="inlineStr">
        <is>
          <t>Gerald Murphy</t>
        </is>
      </c>
      <c r="L60" s="9">
        <f>SUMIF(Transactions[Customer_ID],"CUST047",Transactions[Total_Amount])</f>
        <v/>
      </c>
    </row>
    <row r="61">
      <c r="K61" t="inlineStr">
        <is>
          <t>Virginia Sanders</t>
        </is>
      </c>
      <c r="L61" s="9">
        <f>SUMIF(Transactions[Customer_ID],"CUST048",Transactions[Total_Amount])</f>
        <v/>
      </c>
    </row>
    <row r="62">
      <c r="K62" t="inlineStr">
        <is>
          <t>Raymond Ross</t>
        </is>
      </c>
      <c r="L62" s="9">
        <f>SUMIF(Transactions[Customer_ID],"CUST049",Transactions[Total_Amount])</f>
        <v/>
      </c>
    </row>
  </sheetData>
  <mergeCells count="1">
    <mergeCell ref="A1:F1"/>
  </mergeCells>
  <conditionalFormatting sqref="L17:L63">
    <cfRule type="colorScale" priority="1">
      <colorScale>
        <cfvo type="min"/>
        <cfvo type="max"/>
        <color rgb="00FFFFFF"/>
        <color rgb="0063BE7B"/>
      </colorScale>
    </cfRule>
  </conditionalFormatting>
  <conditionalFormatting sqref="A17:A30">
    <cfRule type="iconSet" priority="2">
      <iconSet iconSet="3Arrows" showValue="1">
        <cfvo type="percent" val="0"/>
        <cfvo type="percent" val="33"/>
        <cfvo type="percent" val="67"/>
      </iconSet>
    </cfRule>
  </conditionalFormatting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1"/>
  <sheetViews>
    <sheetView showGridLines="0" workbookViewId="0">
      <selection activeCell="A1" sqref="A1"/>
    </sheetView>
  </sheetViews>
  <sheetFormatPr baseColWidth="8" defaultRowHeight="15"/>
  <sheetData>
    <row r="1">
      <c r="A1" s="6" t="inlineStr">
        <is>
          <t>SALES VISUALIZATIONS</t>
        </is>
      </c>
    </row>
  </sheetData>
  <mergeCells count="1">
    <mergeCell ref="A1:N1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I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4" customWidth="1" min="10" max="10"/>
  </cols>
  <sheetData>
    <row r="2" ht="38" customHeight="1">
      <c r="B2" s="13" t="inlineStr">
        <is>
          <t>DATA INTELLIGENCE DASHBOARD</t>
        </is>
      </c>
    </row>
    <row r="4">
      <c r="B4" s="2" t="inlineStr">
        <is>
          <t>Region Filter</t>
        </is>
      </c>
      <c r="C4" s="14" t="inlineStr">
        <is>
          <t>All</t>
        </is>
      </c>
      <c r="E4" s="2" t="inlineStr">
        <is>
          <t>Category Filter</t>
        </is>
      </c>
      <c r="F4" s="14" t="inlineStr">
        <is>
          <t>All</t>
        </is>
      </c>
      <c r="H4" s="2" t="inlineStr">
        <is>
          <t>Segment Filter</t>
        </is>
      </c>
      <c r="I4" s="14" t="inlineStr">
        <is>
          <t>All</t>
        </is>
      </c>
    </row>
    <row r="6">
      <c r="B6" s="15" t="inlineStr">
        <is>
          <t>TOTAL REVENUE</t>
        </is>
      </c>
      <c r="E6" s="15" t="inlineStr">
        <is>
          <t>TRANSACTIONS</t>
        </is>
      </c>
      <c r="H6" s="15" t="inlineStr">
        <is>
          <t>AVG ORDER VALUE</t>
        </is>
      </c>
    </row>
    <row r="7">
      <c r="B7" s="16">
        <f>SUMIFS(Transactions[Total_Amount],Transactions[Region],IF($C$4="All","*",$C$4),Transactions[Category],IF($F$4="All","*",$F$4),Transactions[Customer_Segment],IF($I$4="All","*",$I$4))</f>
        <v/>
      </c>
      <c r="E7" s="16">
        <f>COUNTIFS(Transactions[Region],IF($C$4="All","*",$C$4),Transactions[Category],IF($F$4="All","*",$F$4),Transactions[Customer_Segment],IF($I$4="All","*",$I$4))</f>
        <v/>
      </c>
      <c r="H7" s="16">
        <f>IFERROR(B7/E7,0)</f>
        <v/>
      </c>
    </row>
    <row r="8"/>
    <row r="10">
      <c r="B10" s="2" t="inlineStr">
        <is>
          <t>Top customer</t>
        </is>
      </c>
      <c r="C10">
        <f>Analysis!N17</f>
        <v/>
      </c>
      <c r="E10" s="2" t="inlineStr">
        <is>
          <t>Best-selling product</t>
        </is>
      </c>
      <c r="F10">
        <f>Analysis!N20</f>
        <v/>
      </c>
      <c r="H10" s="2" t="inlineStr">
        <is>
          <t>Refreshed</t>
        </is>
      </c>
      <c r="I10" s="17">
        <f>NOW()</f>
        <v/>
      </c>
    </row>
    <row r="11">
      <c r="B11" s="2" t="inlineStr">
        <is>
          <t>Top customer revenue</t>
        </is>
      </c>
      <c r="C11">
        <f>Analysis!O17</f>
        <v/>
      </c>
      <c r="E11" s="2" t="inlineStr">
        <is>
          <t>Units sold</t>
        </is>
      </c>
      <c r="F11">
        <f>Analysis!O20</f>
        <v/>
      </c>
    </row>
  </sheetData>
  <mergeCells count="7">
    <mergeCell ref="B6:C6"/>
    <mergeCell ref="E6:F6"/>
    <mergeCell ref="H6:I6"/>
    <mergeCell ref="B7:C8"/>
    <mergeCell ref="E7:F8"/>
    <mergeCell ref="B2:I2"/>
    <mergeCell ref="H7:I8"/>
  </mergeCells>
  <conditionalFormatting sqref="C7:C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7:E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:H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3">
    <dataValidation sqref="C4" showDropDown="0" showInputMessage="0" showErrorMessage="0" allowBlank="0" type="list">
      <formula1>"All,North,South,East,West,Central"</formula1>
    </dataValidation>
    <dataValidation sqref="F4" showDropDown="0" showInputMessage="0" showErrorMessage="0" allowBlank="0" type="list">
      <formula1>"All,Electronics,Appliances,Furniture"</formula1>
    </dataValidation>
    <dataValidation sqref="I4" showDropDown="0" showInputMessage="0" showErrorMessage="0" allowBlank="0" type="list">
      <formula1>"All,Basic,Standard,Premium"</formula1>
    </dataValidation>
  </dataValidation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2026-10-27T11:59:12Z</dcterms:created>
  <dcterms:modified xmlns:dcterms="http://purl.org/dc/terms/" xmlns:xsi="http://www.w3.org/2001/XMLSchema-instance" xsi:type="dcterms:W3CDTF">2026-10-27T11:59:29Z</dcterms:modified>
</cp:coreProperties>
</file>